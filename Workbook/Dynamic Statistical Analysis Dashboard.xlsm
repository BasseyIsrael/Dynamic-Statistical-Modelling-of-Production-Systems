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PC\Documents\GitHub\Dynamic-Statistical-Modelling-of-Production-Systems\Workbook\"/>
    </mc:Choice>
  </mc:AlternateContent>
  <xr:revisionPtr revIDLastSave="0" documentId="13_ncr:1_{777223F3-BE14-4538-AFB1-0E33AF06B2EB}" xr6:coauthVersionLast="47" xr6:coauthVersionMax="47" xr10:uidLastSave="{00000000-0000-0000-0000-000000000000}"/>
  <bookViews>
    <workbookView showVerticalScroll="0" xWindow="-120" yWindow="-120" windowWidth="29040" windowHeight="15735" tabRatio="764" activeTab="2" xr2:uid="{3680B944-1F99-424B-9A18-A7655DB8EA02}"/>
  </bookViews>
  <sheets>
    <sheet name="Imported File" sheetId="5" r:id="rId1"/>
    <sheet name="Edit" sheetId="7" r:id="rId2"/>
    <sheet name="Data" sheetId="1" r:id="rId3"/>
    <sheet name="Plots" sheetId="3" r:id="rId4"/>
    <sheet name="Computation" sheetId="2" r:id="rId5"/>
    <sheet name="Analysis" sheetId="4" r:id="rId6"/>
    <sheet name="Options" sheetId="6" r:id="rId7"/>
  </sheets>
  <definedNames>
    <definedName name="Choke_Axis">Edit!$C$15:$C$18</definedName>
    <definedName name="Columns">Edit!$S$3:$S$7</definedName>
    <definedName name="FitColumns">Edit!$B$15:$B$16</definedName>
    <definedName name="FlowCondDrop">Edit!$B$3:$B$4</definedName>
    <definedName name="MethodDrop">Edit!$F$3:$F$4</definedName>
    <definedName name="ModelDrop">Edit!$D$3:$D$4</definedName>
    <definedName name="Step_Value">Plots!$Q$7</definedName>
    <definedName name="TimeLag">Edit!$H$3:$H$9</definedName>
    <definedName name="X_Axis">INDIRECT("Edit!T"&amp;4&amp;":T"&amp;4+Step_Value)</definedName>
    <definedName name="Y_Axis">INDIRECT("Edit!U"&amp;4&amp;":U"&amp;4+Step_Value)</definedName>
    <definedName name="Y_AxisFIt">Edit!$D$15:$D$18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7" l="1" a="1"/>
  <c r="L3" i="7" s="1"/>
  <c r="D14" i="4"/>
  <c r="D13" i="4"/>
  <c r="D11" i="4"/>
  <c r="D10" i="4"/>
  <c r="F10" i="4"/>
  <c r="F11" i="4"/>
  <c r="F13" i="4"/>
  <c r="F14" i="4"/>
  <c r="H14" i="4"/>
  <c r="H13" i="4"/>
  <c r="H10" i="4"/>
  <c r="H11" i="4"/>
  <c r="H26" i="4"/>
  <c r="H25" i="4"/>
  <c r="H23" i="4"/>
  <c r="H22" i="4"/>
  <c r="F26" i="4"/>
  <c r="F25" i="4"/>
  <c r="F22" i="4"/>
  <c r="F23" i="4"/>
  <c r="D26" i="4"/>
  <c r="D25" i="4"/>
  <c r="D22" i="4"/>
  <c r="D23" i="4"/>
  <c r="D24" i="4"/>
  <c r="M3" i="7" l="1" a="1"/>
  <c r="M3" i="7" s="1"/>
  <c r="A37" i="7"/>
  <c r="A30" i="7"/>
  <c r="D12" i="4"/>
  <c r="Q3" i="7" l="1" a="1"/>
  <c r="Q3" i="7" s="1"/>
  <c r="Q12" i="1" s="1"/>
  <c r="P3" i="7" a="1"/>
  <c r="P3" i="7" s="1"/>
  <c r="P12" i="1" s="1"/>
  <c r="N3" i="7" a="1"/>
  <c r="N3" i="7" s="1"/>
  <c r="N12" i="1" s="1"/>
  <c r="E10" i="4" s="1"/>
  <c r="O3" i="7" a="1"/>
  <c r="O3" i="7" s="1"/>
  <c r="O12" i="1" s="1"/>
  <c r="M12" i="1"/>
  <c r="H24" i="4"/>
  <c r="F24" i="4"/>
  <c r="H12" i="4"/>
  <c r="F12" i="4"/>
  <c r="Q22" i="2"/>
  <c r="Q23" i="2"/>
  <c r="D14" i="7"/>
  <c r="E15" i="7" s="1"/>
  <c r="S3" i="7" a="1"/>
  <c r="S3" i="7" s="1"/>
  <c r="I10" i="4" l="1"/>
  <c r="I11" i="4"/>
  <c r="I12" i="4"/>
  <c r="I13" i="4"/>
  <c r="I14" i="4"/>
  <c r="G10" i="4"/>
  <c r="G11" i="4"/>
  <c r="G13" i="4"/>
  <c r="G12" i="4"/>
  <c r="G14" i="4"/>
  <c r="E11" i="4"/>
  <c r="E12" i="4"/>
  <c r="E13" i="4"/>
  <c r="E14" i="4"/>
  <c r="L22" i="2"/>
  <c r="L24" i="2" s="1"/>
  <c r="M22" i="2"/>
  <c r="M24" i="2" s="1"/>
  <c r="B34" i="7"/>
  <c r="N22" i="2"/>
  <c r="N24" i="2" s="1"/>
  <c r="K22" i="2"/>
  <c r="C15" i="7"/>
  <c r="U4" i="7" a="1"/>
  <c r="U4" i="7" s="1"/>
  <c r="T4" i="7" a="1"/>
  <c r="T4" i="7" s="1"/>
  <c r="U3" i="7"/>
  <c r="T3" i="7"/>
  <c r="J22" i="2"/>
  <c r="J24" i="2" s="1"/>
  <c r="Q19" i="1"/>
  <c r="Q15" i="1"/>
  <c r="Q22" i="1"/>
  <c r="Q18" i="1"/>
  <c r="Q14" i="1"/>
  <c r="Q21" i="1"/>
  <c r="Q17" i="1"/>
  <c r="Q13" i="1"/>
  <c r="Q20" i="1"/>
  <c r="Q16" i="1"/>
  <c r="P22" i="1"/>
  <c r="P21" i="1"/>
  <c r="P20" i="1"/>
  <c r="P19" i="1"/>
  <c r="P18" i="1"/>
  <c r="P17" i="1"/>
  <c r="P16" i="1"/>
  <c r="P15" i="1"/>
  <c r="P14" i="1"/>
  <c r="P13" i="1"/>
  <c r="O22" i="1"/>
  <c r="O21" i="1"/>
  <c r="O20" i="1"/>
  <c r="O19" i="1"/>
  <c r="O18" i="1"/>
  <c r="O17" i="1"/>
  <c r="O16" i="1"/>
  <c r="O15" i="1"/>
  <c r="O14" i="1"/>
  <c r="O13" i="1"/>
  <c r="N22" i="1"/>
  <c r="N21" i="1"/>
  <c r="N20" i="1"/>
  <c r="N19" i="1"/>
  <c r="N18" i="1"/>
  <c r="N17" i="1"/>
  <c r="N16" i="1"/>
  <c r="N15" i="1"/>
  <c r="N14" i="1"/>
  <c r="N13" i="1"/>
  <c r="M19" i="1"/>
  <c r="M15" i="1"/>
  <c r="M16" i="1"/>
  <c r="B38" i="7" s="1"/>
  <c r="M22" i="1"/>
  <c r="M18" i="1"/>
  <c r="M14" i="1"/>
  <c r="M20" i="1"/>
  <c r="M21" i="1"/>
  <c r="M17" i="1"/>
  <c r="M13" i="1"/>
  <c r="I23" i="4" l="1"/>
  <c r="I26" i="4"/>
  <c r="I24" i="4"/>
  <c r="I25" i="4"/>
  <c r="G22" i="4"/>
  <c r="I22" i="4"/>
  <c r="G24" i="4"/>
  <c r="G23" i="4"/>
  <c r="G25" i="4"/>
  <c r="G26" i="4"/>
  <c r="E22" i="4"/>
  <c r="E23" i="4"/>
  <c r="E24" i="4"/>
  <c r="E25" i="4"/>
  <c r="E26" i="4"/>
  <c r="V4" i="7"/>
  <c r="I29" i="7" a="1"/>
  <c r="I29" i="7" s="1"/>
  <c r="I30" i="7" a="1"/>
  <c r="I30" i="7" s="1"/>
  <c r="F29" i="7" a="1"/>
  <c r="F29" i="7" s="1"/>
  <c r="C29" i="7" a="1"/>
  <c r="C29" i="7" s="1"/>
  <c r="C30" i="7" a="1"/>
  <c r="C30" i="7" s="1"/>
  <c r="B35" i="7"/>
  <c r="C17" i="7"/>
  <c r="B36" i="7"/>
  <c r="C18" i="7"/>
  <c r="B37" i="7"/>
  <c r="C16" i="7"/>
  <c r="D15" i="7" a="1"/>
  <c r="D15" i="7" s="1"/>
  <c r="I32" i="7" l="1" a="1"/>
  <c r="I32" i="7" s="1"/>
  <c r="F32" i="7" a="1"/>
  <c r="F32" i="7" s="1"/>
  <c r="C32" i="7" a="1"/>
  <c r="C32" i="7" s="1"/>
  <c r="C31" i="7" l="1" a="1"/>
  <c r="C31" i="7" s="1"/>
  <c r="F31" i="7" a="1"/>
  <c r="F31" i="7" s="1"/>
  <c r="F30" i="7" a="1"/>
  <c r="F30" i="7" s="1"/>
  <c r="I31" i="7" a="1"/>
  <c r="I3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<sst xmlns="http://schemas.openxmlformats.org/spreadsheetml/2006/main" count="117" uniqueCount="66">
  <si>
    <t>Choke Size</t>
  </si>
  <si>
    <t>Pressure</t>
  </si>
  <si>
    <t>GLR</t>
  </si>
  <si>
    <t>Flowrate</t>
  </si>
  <si>
    <t>Smart Choke System Analysis Dashboard</t>
  </si>
  <si>
    <t>Met</t>
  </si>
  <si>
    <t>Best Corr</t>
  </si>
  <si>
    <t>Critical</t>
  </si>
  <si>
    <t>Sub-Critical</t>
  </si>
  <si>
    <t>Mathematical</t>
  </si>
  <si>
    <t>Machine Learning</t>
  </si>
  <si>
    <t>Flow Condition</t>
  </si>
  <si>
    <t>Model</t>
  </si>
  <si>
    <t>Method</t>
  </si>
  <si>
    <t>With Tolerance</t>
  </si>
  <si>
    <t>Without Tolerance</t>
  </si>
  <si>
    <t>Time Lag</t>
  </si>
  <si>
    <t>BS&amp;W</t>
  </si>
  <si>
    <t>S/N</t>
  </si>
  <si>
    <t>Pwh</t>
  </si>
  <si>
    <t>Data Tab ScrollBar</t>
  </si>
  <si>
    <t>Data Summary</t>
  </si>
  <si>
    <t>Data Analysis</t>
  </si>
  <si>
    <t>Columns</t>
  </si>
  <si>
    <t>X-Axis</t>
  </si>
  <si>
    <t>Y-Axis</t>
  </si>
  <si>
    <t>Graph Name:</t>
  </si>
  <si>
    <t>Graph Code</t>
  </si>
  <si>
    <t>Data Fitting</t>
  </si>
  <si>
    <t>Fit Columns</t>
  </si>
  <si>
    <t>GOR</t>
  </si>
  <si>
    <t>Graph Name</t>
  </si>
  <si>
    <t>Coef of Det.</t>
  </si>
  <si>
    <t>Coefficient of Determination</t>
  </si>
  <si>
    <t>Value</t>
  </si>
  <si>
    <t>Fit Type</t>
  </si>
  <si>
    <t>Linear</t>
  </si>
  <si>
    <t>Exponential</t>
  </si>
  <si>
    <t>Polynomial</t>
  </si>
  <si>
    <t>Logarithm</t>
  </si>
  <si>
    <t>Por. Tol. Code</t>
  </si>
  <si>
    <t>GOR Tol. Code</t>
  </si>
  <si>
    <t>BS&amp;W Tol. Code</t>
  </si>
  <si>
    <t>Tol. Units</t>
  </si>
  <si>
    <t>%</t>
  </si>
  <si>
    <t>-</t>
  </si>
  <si>
    <t>Tolerance</t>
  </si>
  <si>
    <t>Constraints</t>
  </si>
  <si>
    <t>Prod Units</t>
  </si>
  <si>
    <t>GOR Units</t>
  </si>
  <si>
    <t>BS&amp;W Units</t>
  </si>
  <si>
    <t>SCF/STB</t>
  </si>
  <si>
    <t>Gal/day</t>
  </si>
  <si>
    <t>btu/STB</t>
  </si>
  <si>
    <t>Flowrate Fit</t>
  </si>
  <si>
    <t>GOR Fit</t>
  </si>
  <si>
    <t>BS&amp;W Fit</t>
  </si>
  <si>
    <t>Prediction</t>
  </si>
  <si>
    <t>Q</t>
  </si>
  <si>
    <t>9000</t>
  </si>
  <si>
    <t>Fit Values</t>
  </si>
  <si>
    <t>Log of Choke</t>
  </si>
  <si>
    <t xml:space="preserve"> </t>
  </si>
  <si>
    <t>BSW (-)</t>
  </si>
  <si>
    <t>STB/day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</si>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</sst>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 tint="0.249977111117893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b/>
      <sz val="24"/>
      <color theme="1" tint="0.249977111117893"/>
      <name val="Calibri"/>
      <family val="2"/>
      <scheme val="minor"/>
    </font>
    <font>
      <b/>
      <sz val="18"/>
      <color rgb="FF3C1A5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6" xfId="0" applyBorder="1"/>
    <xf numFmtId="0" fontId="0" fillId="0" borderId="1" xfId="0" applyBorder="1"/>
    <xf numFmtId="0" fontId="0" fillId="0" borderId="7" xfId="0" applyBorder="1" applyAlignment="1">
      <alignment horizontal="centerContinuous"/>
    </xf>
    <xf numFmtId="0" fontId="8" fillId="3" borderId="2" xfId="0" applyFont="1" applyFill="1" applyBorder="1"/>
    <xf numFmtId="0" fontId="8" fillId="4" borderId="3" xfId="0" applyFont="1" applyFill="1" applyBorder="1"/>
    <xf numFmtId="0" fontId="5" fillId="0" borderId="7" xfId="0" applyFont="1" applyBorder="1" applyAlignment="1">
      <alignment horizontal="centerContinuous"/>
    </xf>
    <xf numFmtId="0" fontId="0" fillId="2" borderId="8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7" xfId="0" applyBorder="1"/>
    <xf numFmtId="3" fontId="0" fillId="0" borderId="0" xfId="0" applyNumberFormat="1"/>
    <xf numFmtId="0" fontId="0" fillId="2" borderId="14" xfId="0" applyFill="1" applyBorder="1"/>
    <xf numFmtId="0" fontId="0" fillId="2" borderId="15" xfId="0" applyFill="1" applyBorder="1"/>
    <xf numFmtId="0" fontId="0" fillId="2" borderId="5" xfId="0" applyFill="1" applyBorder="1"/>
    <xf numFmtId="0" fontId="3" fillId="2" borderId="0" xfId="0" applyFont="1" applyFill="1" applyAlignment="1">
      <alignment horizontal="left"/>
    </xf>
    <xf numFmtId="0" fontId="6" fillId="2" borderId="0" xfId="0" applyFont="1" applyFill="1" applyAlignment="1">
      <alignment horizontal="center" vertical="distributed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C00000"/>
        </patternFill>
      </fill>
    </dxf>
  </dxfs>
  <tableStyles count="1" defaultTableStyle="TableStyleMedium2" defaultPivotStyle="PivotStyleLight16">
    <tableStyle name="Invisible" pivot="0" table="0" count="0" xr9:uid="{C91516CA-5DF9-4E96-B143-B204E06CBB16}"/>
  </tableStyles>
  <colors>
    <mruColors>
      <color rgb="FFD1B2E8"/>
      <color rgb="FFFBF9FD"/>
      <color rgb="FF3C1A56"/>
      <color rgb="FFFF9E14"/>
      <color rgb="FF7075E0"/>
      <color rgb="FF9B3AB1"/>
      <color rgb="FFEDECF0"/>
      <color rgb="FFF9FDFB"/>
      <color rgb="FFEFF8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Edit!$V$4</c:f>
          <c:strCache>
            <c:ptCount val="1"/>
            <c:pt idx="0">
              <c:v>Chart of BS&amp;W VS Choke Size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1567018896617866"/>
                  <c:y val="1.6138867348742929E-3"/>
                </c:manualLayout>
              </c:layout>
              <c:numFmt formatCode="General" sourceLinked="0"/>
              <c:spPr>
                <a:solidFill>
                  <a:srgbClr val="FBF9FD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[0]!X_Axis</c:f>
              <c:numCache>
                <c:formatCode>General</c:formatCode>
                <c:ptCount val="13"/>
                <c:pt idx="0">
                  <c:v>61.44</c:v>
                </c:pt>
                <c:pt idx="1">
                  <c:v>56.32</c:v>
                </c:pt>
                <c:pt idx="2">
                  <c:v>51.2</c:v>
                </c:pt>
                <c:pt idx="3">
                  <c:v>58.88</c:v>
                </c:pt>
                <c:pt idx="4">
                  <c:v>54</c:v>
                </c:pt>
                <c:pt idx="5">
                  <c:v>60</c:v>
                </c:pt>
                <c:pt idx="6">
                  <c:v>48</c:v>
                </c:pt>
                <c:pt idx="7">
                  <c:v>46.08</c:v>
                </c:pt>
                <c:pt idx="8">
                  <c:v>25.5</c:v>
                </c:pt>
                <c:pt idx="9">
                  <c:v>38.4</c:v>
                </c:pt>
                <c:pt idx="10">
                  <c:v>43.52</c:v>
                </c:pt>
                <c:pt idx="11">
                  <c:v>34.4</c:v>
                </c:pt>
                <c:pt idx="12">
                  <c:v>30</c:v>
                </c:pt>
              </c:numCache>
            </c:numRef>
          </c:xVal>
          <c:yVal>
            <c:numRef>
              <c:f>[0]!Y_Axis</c:f>
              <c:numCache>
                <c:formatCode>General</c:formatCode>
                <c:ptCount val="13"/>
                <c:pt idx="0">
                  <c:v>38</c:v>
                </c:pt>
                <c:pt idx="1">
                  <c:v>28</c:v>
                </c:pt>
                <c:pt idx="2">
                  <c:v>20</c:v>
                </c:pt>
                <c:pt idx="3">
                  <c:v>28</c:v>
                </c:pt>
                <c:pt idx="4">
                  <c:v>20</c:v>
                </c:pt>
                <c:pt idx="5">
                  <c:v>30</c:v>
                </c:pt>
                <c:pt idx="6">
                  <c:v>18.600000000000001</c:v>
                </c:pt>
                <c:pt idx="7">
                  <c:v>16</c:v>
                </c:pt>
                <c:pt idx="8">
                  <c:v>1.3</c:v>
                </c:pt>
                <c:pt idx="9">
                  <c:v>4.2</c:v>
                </c:pt>
                <c:pt idx="10">
                  <c:v>8</c:v>
                </c:pt>
                <c:pt idx="11">
                  <c:v>2</c:v>
                </c:pt>
                <c:pt idx="12">
                  <c:v>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B-414A-AF53-D6694D246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603744"/>
        <c:axId val="1508598752"/>
      </c:scatterChart>
      <c:valAx>
        <c:axId val="1508603744"/>
        <c:scaling>
          <c:orientation val="minMax"/>
        </c:scaling>
        <c:delete val="0"/>
        <c:axPos val="b"/>
        <c:title>
          <c:tx>
            <c:strRef>
              <c:f>Edit!$T$3</c:f>
              <c:strCache>
                <c:ptCount val="1"/>
                <c:pt idx="0">
                  <c:v>Choke Size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598752"/>
        <c:crosses val="autoZero"/>
        <c:crossBetween val="midCat"/>
      </c:valAx>
      <c:valAx>
        <c:axId val="15085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Edit!$U$3</c:f>
              <c:strCache>
                <c:ptCount val="1"/>
                <c:pt idx="0">
                  <c:v>BS&amp;W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60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BF9FD">
        <a:alpha val="23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Edit!$E$15</c:f>
          <c:strCache>
            <c:ptCount val="1"/>
            <c:pt idx="0">
              <c:v>Graph of BS&amp;W VS  Choke Size</c:v>
            </c:pt>
          </c:strCache>
        </c:strRef>
      </c:tx>
      <c:layout>
        <c:manualLayout>
          <c:xMode val="edge"/>
          <c:yMode val="edge"/>
          <c:x val="0.13396962506283452"/>
          <c:y val="3.41451086459716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FitChart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Poly (Fit Series)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3820286857979242"/>
                  <c:y val="-0.1788634607904816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[0]!Choke_Axis</c:f>
              <c:numCache>
                <c:formatCode>General</c:formatCode>
                <c:ptCount val="4"/>
                <c:pt idx="0">
                  <c:v>61.44</c:v>
                </c:pt>
                <c:pt idx="1">
                  <c:v>56.32</c:v>
                </c:pt>
                <c:pt idx="2">
                  <c:v>51.2</c:v>
                </c:pt>
                <c:pt idx="3">
                  <c:v>58.88</c:v>
                </c:pt>
              </c:numCache>
            </c:numRef>
          </c:xVal>
          <c:yVal>
            <c:numRef>
              <c:f>[0]!Y_AxisFIt</c:f>
              <c:numCache>
                <c:formatCode>General</c:formatCode>
                <c:ptCount val="4"/>
                <c:pt idx="0">
                  <c:v>38</c:v>
                </c:pt>
                <c:pt idx="1">
                  <c:v>28</c:v>
                </c:pt>
                <c:pt idx="2">
                  <c:v>20</c:v>
                </c:pt>
                <c:pt idx="3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7D-4961-8D5B-467B92112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837648"/>
        <c:axId val="1704838480"/>
      </c:scatterChart>
      <c:valAx>
        <c:axId val="1704837648"/>
        <c:scaling>
          <c:orientation val="minMax"/>
          <c:min val="16"/>
        </c:scaling>
        <c:delete val="0"/>
        <c:axPos val="b"/>
        <c:title>
          <c:tx>
            <c:strRef>
              <c:f>Edit!$C$14</c:f>
              <c:strCache>
                <c:ptCount val="1"/>
                <c:pt idx="0">
                  <c:v>Choke Size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838480"/>
        <c:crosses val="autoZero"/>
        <c:crossBetween val="midCat"/>
      </c:valAx>
      <c:valAx>
        <c:axId val="170483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Edit!$D$14</c:f>
              <c:strCache>
                <c:ptCount val="1"/>
                <c:pt idx="0">
                  <c:v>BS&amp;W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83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BF9FD">
        <a:alpha val="4200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81714785651792"/>
          <c:y val="5.0925925925925923E-2"/>
          <c:w val="0.69562729658792655"/>
          <c:h val="0.76722951297754427"/>
        </c:manualLayout>
      </c:layout>
      <c:scatterChart>
        <c:scatterStyle val="smoothMarker"/>
        <c:varyColors val="0"/>
        <c:ser>
          <c:idx val="3"/>
          <c:order val="0"/>
          <c:tx>
            <c:strRef>
              <c:f>Analysis!$D$8</c:f>
              <c:strCache>
                <c:ptCount val="1"/>
                <c:pt idx="0">
                  <c:v>56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Analysis!$E$10:$E$14</c:f>
              <c:numCache>
                <c:formatCode>General</c:formatCode>
                <c:ptCount val="5"/>
                <c:pt idx="0">
                  <c:v>0.31727297756805739</c:v>
                </c:pt>
                <c:pt idx="1">
                  <c:v>0.21974054579206548</c:v>
                </c:pt>
                <c:pt idx="2">
                  <c:v>0.12220811401607368</c:v>
                </c:pt>
                <c:pt idx="3">
                  <c:v>2.4675682240081875E-2</c:v>
                </c:pt>
                <c:pt idx="4">
                  <c:v>-7.2856749535909815E-2</c:v>
                </c:pt>
              </c:numCache>
            </c:numRef>
          </c:xVal>
          <c:yVal>
            <c:numRef>
              <c:f>Analysis!$D$10:$D$14</c:f>
              <c:numCache>
                <c:formatCode>General</c:formatCode>
                <c:ptCount val="5"/>
                <c:pt idx="0">
                  <c:v>7000</c:v>
                </c:pt>
                <c:pt idx="1">
                  <c:v>8000</c:v>
                </c:pt>
                <c:pt idx="2">
                  <c:v>9000</c:v>
                </c:pt>
                <c:pt idx="3">
                  <c:v>10000</c:v>
                </c:pt>
                <c:pt idx="4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FC-4D26-88F1-903095F4041E}"/>
            </c:ext>
          </c:extLst>
        </c:ser>
        <c:ser>
          <c:idx val="0"/>
          <c:order val="1"/>
          <c:tx>
            <c:strRef>
              <c:f>Analysis!$F$8</c:f>
              <c:strCache>
                <c:ptCount val="1"/>
                <c:pt idx="0">
                  <c:v>68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Analysis!$G$10:$G$14</c:f>
              <c:numCache>
                <c:formatCode>General</c:formatCode>
                <c:ptCount val="5"/>
                <c:pt idx="0">
                  <c:v>0.50973669343343064</c:v>
                </c:pt>
                <c:pt idx="1">
                  <c:v>0.43969907820963494</c:v>
                </c:pt>
                <c:pt idx="2">
                  <c:v>0.36966146298583924</c:v>
                </c:pt>
                <c:pt idx="3">
                  <c:v>0.29962384776204365</c:v>
                </c:pt>
                <c:pt idx="4">
                  <c:v>0.22958623253824806</c:v>
                </c:pt>
              </c:numCache>
            </c:numRef>
          </c:xVal>
          <c:yVal>
            <c:numRef>
              <c:f>Analysis!$F$10:$F$14</c:f>
              <c:numCache>
                <c:formatCode>General</c:formatCode>
                <c:ptCount val="5"/>
                <c:pt idx="0">
                  <c:v>7000</c:v>
                </c:pt>
                <c:pt idx="1">
                  <c:v>8000</c:v>
                </c:pt>
                <c:pt idx="2">
                  <c:v>9000</c:v>
                </c:pt>
                <c:pt idx="3">
                  <c:v>10000</c:v>
                </c:pt>
                <c:pt idx="4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FC-4D26-88F1-903095F4041E}"/>
            </c:ext>
          </c:extLst>
        </c:ser>
        <c:ser>
          <c:idx val="1"/>
          <c:order val="2"/>
          <c:tx>
            <c:strRef>
              <c:f>Analysis!$H$8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Analysis!$I$10:$I$14</c:f>
              <c:numCache>
                <c:formatCode>General</c:formatCode>
                <c:ptCount val="5"/>
                <c:pt idx="0">
                  <c:v>0.39306550834743959</c:v>
                </c:pt>
                <c:pt idx="1">
                  <c:v>0.30636058096850227</c:v>
                </c:pt>
                <c:pt idx="2">
                  <c:v>0.21965565358956518</c:v>
                </c:pt>
                <c:pt idx="3">
                  <c:v>0.13295072621062798</c:v>
                </c:pt>
                <c:pt idx="4">
                  <c:v>4.6245798831690776E-2</c:v>
                </c:pt>
              </c:numCache>
            </c:numRef>
          </c:xVal>
          <c:yVal>
            <c:numRef>
              <c:f>Analysis!$H$10:$H$14</c:f>
              <c:numCache>
                <c:formatCode>General</c:formatCode>
                <c:ptCount val="5"/>
                <c:pt idx="0">
                  <c:v>7000</c:v>
                </c:pt>
                <c:pt idx="1">
                  <c:v>8000</c:v>
                </c:pt>
                <c:pt idx="2">
                  <c:v>9000</c:v>
                </c:pt>
                <c:pt idx="3">
                  <c:v>10000</c:v>
                </c:pt>
                <c:pt idx="4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FC-4D26-88F1-903095F40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251488"/>
        <c:axId val="1940240256"/>
      </c:scatterChart>
      <c:valAx>
        <c:axId val="1940251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BS%W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240256"/>
        <c:crosses val="autoZero"/>
        <c:crossBetween val="midCat"/>
      </c:valAx>
      <c:valAx>
        <c:axId val="19402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Analysis!$D$9</c:f>
              <c:strCache>
                <c:ptCount val="1"/>
                <c:pt idx="0">
                  <c:v>Q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025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384448818897651"/>
          <c:y val="0.28298556430446198"/>
          <c:w val="0.13119991251093613"/>
          <c:h val="0.355903324584426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BF9FD">
        <a:alpha val="7100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29371504"/>
        <c:axId val="129375248"/>
      </c:scatterChart>
      <c:valAx>
        <c:axId val="12937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75248"/>
        <c:crosses val="autoZero"/>
        <c:crossBetween val="midCat"/>
      </c:valAx>
      <c:valAx>
        <c:axId val="12937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37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7488929344295"/>
          <c:y val="7.1167306849789599E-2"/>
          <c:w val="0.66268609683466706"/>
          <c:h val="0.7062517193247002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Analysis!$D$20</c:f>
              <c:strCache>
                <c:ptCount val="1"/>
                <c:pt idx="0">
                  <c:v>64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Analysis!$E$22:$E$26</c:f>
              <c:numCache>
                <c:formatCode>General</c:formatCode>
                <c:ptCount val="5"/>
                <c:pt idx="0">
                  <c:v>15.531734814653854</c:v>
                </c:pt>
                <c:pt idx="1">
                  <c:v>13.590267962822121</c:v>
                </c:pt>
                <c:pt idx="2">
                  <c:v>12.080238189175219</c:v>
                </c:pt>
                <c:pt idx="3">
                  <c:v>10.872214370257698</c:v>
                </c:pt>
                <c:pt idx="4">
                  <c:v>9.8838312456888158</c:v>
                </c:pt>
              </c:numCache>
            </c:numRef>
          </c:xVal>
          <c:yVal>
            <c:numRef>
              <c:f>Analysis!$D$22:$D$26</c:f>
              <c:numCache>
                <c:formatCode>General</c:formatCode>
                <c:ptCount val="5"/>
                <c:pt idx="0">
                  <c:v>7000</c:v>
                </c:pt>
                <c:pt idx="1">
                  <c:v>8000</c:v>
                </c:pt>
                <c:pt idx="2">
                  <c:v>9000</c:v>
                </c:pt>
                <c:pt idx="3">
                  <c:v>10000</c:v>
                </c:pt>
                <c:pt idx="4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36-436A-B430-9F5E5E7707CA}"/>
            </c:ext>
          </c:extLst>
        </c:ser>
        <c:ser>
          <c:idx val="1"/>
          <c:order val="1"/>
          <c:tx>
            <c:strRef>
              <c:f>Analysis!$F$20</c:f>
              <c:strCache>
                <c:ptCount val="1"/>
                <c:pt idx="0">
                  <c:v>56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Analysis!$G$22:$G$26</c:f>
              <c:numCache>
                <c:formatCode>General</c:formatCode>
                <c:ptCount val="5"/>
                <c:pt idx="0">
                  <c:v>11.718093494542888</c:v>
                </c:pt>
                <c:pt idx="1">
                  <c:v>10.253331807725028</c:v>
                </c:pt>
                <c:pt idx="2">
                  <c:v>9.1140727179778018</c:v>
                </c:pt>
                <c:pt idx="3">
                  <c:v>8.2026654461800224</c:v>
                </c:pt>
                <c:pt idx="4">
                  <c:v>7.4569685874363829</c:v>
                </c:pt>
              </c:numCache>
            </c:numRef>
          </c:xVal>
          <c:yVal>
            <c:numRef>
              <c:f>Analysis!$F$22:$F$26</c:f>
              <c:numCache>
                <c:formatCode>General</c:formatCode>
                <c:ptCount val="5"/>
                <c:pt idx="0">
                  <c:v>7000</c:v>
                </c:pt>
                <c:pt idx="1">
                  <c:v>8000</c:v>
                </c:pt>
                <c:pt idx="2">
                  <c:v>9000</c:v>
                </c:pt>
                <c:pt idx="3">
                  <c:v>10000</c:v>
                </c:pt>
                <c:pt idx="4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36-436A-B430-9F5E5E7707CA}"/>
            </c:ext>
          </c:extLst>
        </c:ser>
        <c:ser>
          <c:idx val="2"/>
          <c:order val="2"/>
          <c:tx>
            <c:strRef>
              <c:f>Analysis!$H$20</c:f>
              <c:strCache>
                <c:ptCount val="1"/>
                <c:pt idx="0">
                  <c:v>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Analysis!$I$22:$I$26</c:f>
              <c:numCache>
                <c:formatCode>General</c:formatCode>
                <c:ptCount val="5"/>
                <c:pt idx="0">
                  <c:v>7.0447464871938177</c:v>
                </c:pt>
                <c:pt idx="1">
                  <c:v>6.1641531762945903</c:v>
                </c:pt>
                <c:pt idx="2">
                  <c:v>5.4792472678174136</c:v>
                </c:pt>
                <c:pt idx="3">
                  <c:v>4.931322541035672</c:v>
                </c:pt>
                <c:pt idx="4">
                  <c:v>4.4830204918506116</c:v>
                </c:pt>
              </c:numCache>
            </c:numRef>
          </c:xVal>
          <c:yVal>
            <c:numRef>
              <c:f>Analysis!$H$22:$H$26</c:f>
              <c:numCache>
                <c:formatCode>General</c:formatCode>
                <c:ptCount val="5"/>
                <c:pt idx="0">
                  <c:v>7000</c:v>
                </c:pt>
                <c:pt idx="1">
                  <c:v>8000</c:v>
                </c:pt>
                <c:pt idx="2">
                  <c:v>9000</c:v>
                </c:pt>
                <c:pt idx="3">
                  <c:v>10000</c:v>
                </c:pt>
                <c:pt idx="4">
                  <c:v>11000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36-436A-B430-9F5E5E770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1454687"/>
        <c:axId val="1737944303"/>
      </c:scatterChart>
      <c:valAx>
        <c:axId val="16314546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7944303"/>
        <c:crosses val="autoZero"/>
        <c:crossBetween val="midCat"/>
      </c:valAx>
      <c:valAx>
        <c:axId val="173794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1454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/>
</file>

<file path=xl/ctrlProps/ctrlProp2.xml><?xml version="1.0" encoding="utf-8"?>
<formControlPr xmlns="http://schemas.microsoft.com/office/spreadsheetml/2009/9/main" objectType="Radio" checked="Checked" firstButton="1" lockText="1"/>
</file>

<file path=xl/ctrlProps/ctrlProp3.xml><?xml version="1.0" encoding="utf-8"?>
<formControlPr xmlns="http://schemas.microsoft.com/office/spreadsheetml/2009/9/main" objectType="Radio" firstButton="1" lockText="1"/>
</file>

<file path=xl/ctrlProps/ctrlProp4.xml><?xml version="1.0" encoding="utf-8"?>
<formControlPr xmlns="http://schemas.microsoft.com/office/spreadsheetml/2009/9/main" objectType="Radio" checked="Checked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/>
</file>

<file path=xl/ctrlProps/ctrlProp8.xml><?xml version="1.0" encoding="utf-8"?>
<formControlPr xmlns="http://schemas.microsoft.com/office/spreadsheetml/2009/9/main" objectType="Radio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Drop" dropLines="2" dropStyle="combo" dx="22" fmlaLink="Edit!$C$3" fmlaRange="FlowCondDrop" sel="1" val="0"/>
</file>

<file path=xl/ctrlProps/ctrlProp11.xml><?xml version="1.0" encoding="utf-8"?>
<formControlPr xmlns="http://schemas.microsoft.com/office/spreadsheetml/2009/9/main" objectType="Drop" dropLines="2" dropStyle="combo" dx="22" fmlaLink="Edit!$E$3" fmlaRange="ModelDrop" sel="1" val="0"/>
</file>

<file path=xl/ctrlProps/ctrlProp12.xml><?xml version="1.0" encoding="utf-8"?>
<formControlPr xmlns="http://schemas.microsoft.com/office/spreadsheetml/2009/9/main" objectType="Drop" dropLines="2" dropStyle="combo" dx="22" fmlaLink="Edit!$G$3" fmlaRange="MethodDrop" sel="2" val="0"/>
</file>

<file path=xl/ctrlProps/ctrlProp13.xml><?xml version="1.0" encoding="utf-8"?>
<formControlPr xmlns="http://schemas.microsoft.com/office/spreadsheetml/2009/9/main" objectType="Drop" dropLines="7" dropStyle="combo" dx="22" fmlaLink="Edit!$I$3" fmlaRange="TimeLag" sel="2" val="0"/>
</file>

<file path=xl/ctrlProps/ctrlProp14.xml><?xml version="1.0" encoding="utf-8"?>
<formControlPr xmlns="http://schemas.microsoft.com/office/spreadsheetml/2009/9/main" objectType="Scroll" dx="22" fmlaLink="Edit!$J$3" max="1000" min="1" page="10" val="6"/>
</file>

<file path=xl/ctrlProps/ctrlProp15.xml><?xml version="1.0" encoding="utf-8"?>
<formControlPr xmlns="http://schemas.microsoft.com/office/spreadsheetml/2009/9/main" objectType="Spin" dx="22" fmlaLink="$Q$7" max="30000" min="10" page="10" val="12"/>
</file>

<file path=xl/ctrlProps/ctrlProp16.xml><?xml version="1.0" encoding="utf-8"?>
<formControlPr xmlns="http://schemas.microsoft.com/office/spreadsheetml/2009/9/main" objectType="Drop" dropLines="5" dropStyle="combo" dx="22" fmlaLink="Edit!$S$9" fmlaRange="Columns" sel="1" val="0"/>
</file>

<file path=xl/ctrlProps/ctrlProp17.xml><?xml version="1.0" encoding="utf-8"?>
<formControlPr xmlns="http://schemas.microsoft.com/office/spreadsheetml/2009/9/main" objectType="Drop" dropLines="5" dropStyle="combo" dx="22" fmlaLink="Edit!$S$10" fmlaRange="Columns" sel="3" val="0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Drop" dropLines="2" dropStyle="combo" dx="22" fmlaLink="Edit!$F$25" fmlaRange="Edit!$F$23:$F$24" sel="1" val="0"/>
</file>

<file path=xl/ctrlProps/ctrlProp21.xml><?xml version="1.0" encoding="utf-8"?>
<formControlPr xmlns="http://schemas.microsoft.com/office/spreadsheetml/2009/9/main" objectType="Drop" dropLines="2" dropStyle="combo" dx="22" fmlaLink="Edit!$G$25" fmlaRange="Edit!$G$23:$G$24" sel="1" val="0"/>
</file>

<file path=xl/ctrlProps/ctrlProp22.xml><?xml version="1.0" encoding="utf-8"?>
<formControlPr xmlns="http://schemas.microsoft.com/office/spreadsheetml/2009/9/main" objectType="Drop" dropLines="2" dropStyle="combo" dx="22" fmlaLink="Edit!$H$25" fmlaRange="Edit!$H$23:$H$24" sel="1" val="0"/>
</file>

<file path=xl/ctrlProps/ctrlProp23.xml><?xml version="1.0" encoding="utf-8"?>
<formControlPr xmlns="http://schemas.microsoft.com/office/spreadsheetml/2009/9/main" objectType="Drop" dropLines="2" dropStyle="combo" dx="22" fmlaLink="Edit!$D$24" fmlaRange="Edit!$B$23:$B$24" sel="1" val="0"/>
</file>

<file path=xl/ctrlProps/ctrlProp24.xml><?xml version="1.0" encoding="utf-8"?>
<formControlPr xmlns="http://schemas.microsoft.com/office/spreadsheetml/2009/9/main" objectType="Drop" dropLines="2" dropStyle="combo" dx="22" fmlaLink="Edit!$B$19" fmlaRange="FitColumns" sel="1" val="0"/>
</file>

<file path=xl/ctrlProps/ctrlProp25.xml><?xml version="1.0" encoding="utf-8"?>
<formControlPr xmlns="http://schemas.microsoft.com/office/spreadsheetml/2009/9/main" objectType="Radio" firstButton="1" lockText="1"/>
</file>

<file path=xl/ctrlProps/ctrlProp26.xml><?xml version="1.0" encoding="utf-8"?>
<formControlPr xmlns="http://schemas.microsoft.com/office/spreadsheetml/2009/9/main" objectType="Radio" lockText="1"/>
</file>

<file path=xl/ctrlProps/ctrlProp27.xml><?xml version="1.0" encoding="utf-8"?>
<formControlPr xmlns="http://schemas.microsoft.com/office/spreadsheetml/2009/9/main" objectType="Radio" checked="Checked" lockText="1"/>
</file>

<file path=xl/ctrlProps/ctrlProp28.xml><?xml version="1.0" encoding="utf-8"?>
<formControlPr xmlns="http://schemas.microsoft.com/office/spreadsheetml/2009/9/main" objectType="Radio" lockText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Spin" dx="22" fmlaLink="$S$11" max="3" min="2" page="10" val="2"/>
</file>

<file path=xl/ctrlProps/ctrlProp31.xml><?xml version="1.0" encoding="utf-8"?>
<formControlPr xmlns="http://schemas.microsoft.com/office/spreadsheetml/2009/9/main" objectType="Drop" dropLines="2" dropStyle="combo" dx="22" fmlaLink="Edit!$F$25" fmlaRange="Edit!$F$23:$F$24" sel="1" val="0"/>
</file>

<file path=xl/ctrlProps/ctrlProp32.xml><?xml version="1.0" encoding="utf-8"?>
<formControlPr xmlns="http://schemas.microsoft.com/office/spreadsheetml/2009/9/main" objectType="Drop" dropLines="2" dropStyle="combo" dx="22" fmlaLink="Edit!$G$25" fmlaRange="Edit!$G$23:$G$24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hyperlink" Target="#Computation!A1"/><Relationship Id="rId18" Type="http://schemas.openxmlformats.org/officeDocument/2006/relationships/image" Target="../media/image14.svg"/><Relationship Id="rId3" Type="http://schemas.openxmlformats.org/officeDocument/2006/relationships/hyperlink" Target="#Data!A1"/><Relationship Id="rId7" Type="http://schemas.openxmlformats.org/officeDocument/2006/relationships/image" Target="../media/image5.png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2.svg"/><Relationship Id="rId16" Type="http://schemas.openxmlformats.org/officeDocument/2006/relationships/hyperlink" Target="#Analysis!A1"/><Relationship Id="rId1" Type="http://schemas.openxmlformats.org/officeDocument/2006/relationships/image" Target="../media/image1.png"/><Relationship Id="rId6" Type="http://schemas.openxmlformats.org/officeDocument/2006/relationships/hyperlink" Target="#Plots!A1"/><Relationship Id="rId11" Type="http://schemas.openxmlformats.org/officeDocument/2006/relationships/image" Target="../media/image9.png"/><Relationship Id="rId5" Type="http://schemas.openxmlformats.org/officeDocument/2006/relationships/image" Target="../media/image4.svg"/><Relationship Id="rId15" Type="http://schemas.openxmlformats.org/officeDocument/2006/relationships/image" Target="../media/image12.svg"/><Relationship Id="rId10" Type="http://schemas.openxmlformats.org/officeDocument/2006/relationships/image" Target="../media/image8.sv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13.png"/><Relationship Id="rId3" Type="http://schemas.openxmlformats.org/officeDocument/2006/relationships/hyperlink" Target="#Data!A1"/><Relationship Id="rId7" Type="http://schemas.openxmlformats.org/officeDocument/2006/relationships/image" Target="../media/image11.png"/><Relationship Id="rId12" Type="http://schemas.openxmlformats.org/officeDocument/2006/relationships/hyperlink" Target="#Analysis!A1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hyperlink" Target="#Computation!A1"/><Relationship Id="rId11" Type="http://schemas.openxmlformats.org/officeDocument/2006/relationships/image" Target="../media/image18.svg"/><Relationship Id="rId5" Type="http://schemas.openxmlformats.org/officeDocument/2006/relationships/image" Target="../media/image16.svg"/><Relationship Id="rId15" Type="http://schemas.openxmlformats.org/officeDocument/2006/relationships/chart" Target="../charts/chart1.xml"/><Relationship Id="rId10" Type="http://schemas.openxmlformats.org/officeDocument/2006/relationships/image" Target="../media/image17.png"/><Relationship Id="rId4" Type="http://schemas.openxmlformats.org/officeDocument/2006/relationships/image" Target="../media/image15.png"/><Relationship Id="rId9" Type="http://schemas.openxmlformats.org/officeDocument/2006/relationships/hyperlink" Target="#Plots!A1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3.png"/><Relationship Id="rId3" Type="http://schemas.openxmlformats.org/officeDocument/2006/relationships/hyperlink" Target="#Data!A1"/><Relationship Id="rId7" Type="http://schemas.openxmlformats.org/officeDocument/2006/relationships/image" Target="../media/image20.png"/><Relationship Id="rId12" Type="http://schemas.openxmlformats.org/officeDocument/2006/relationships/hyperlink" Target="#Analysis!A1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6" Type="http://schemas.openxmlformats.org/officeDocument/2006/relationships/hyperlink" Target="#Computation!A1"/><Relationship Id="rId11" Type="http://schemas.openxmlformats.org/officeDocument/2006/relationships/image" Target="../media/image22.svg"/><Relationship Id="rId5" Type="http://schemas.openxmlformats.org/officeDocument/2006/relationships/image" Target="../media/image19.svg"/><Relationship Id="rId15" Type="http://schemas.openxmlformats.org/officeDocument/2006/relationships/chart" Target="../charts/chart2.xml"/><Relationship Id="rId10" Type="http://schemas.openxmlformats.org/officeDocument/2006/relationships/image" Target="../media/image5.png"/><Relationship Id="rId4" Type="http://schemas.openxmlformats.org/officeDocument/2006/relationships/image" Target="../media/image15.png"/><Relationship Id="rId9" Type="http://schemas.openxmlformats.org/officeDocument/2006/relationships/hyperlink" Target="#Plots!A1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image" Target="../media/image26.png"/><Relationship Id="rId3" Type="http://schemas.openxmlformats.org/officeDocument/2006/relationships/hyperlink" Target="#Data!A1"/><Relationship Id="rId7" Type="http://schemas.openxmlformats.org/officeDocument/2006/relationships/image" Target="../media/image23.png"/><Relationship Id="rId12" Type="http://schemas.openxmlformats.org/officeDocument/2006/relationships/hyperlink" Target="#Analysis!A1"/><Relationship Id="rId17" Type="http://schemas.openxmlformats.org/officeDocument/2006/relationships/chart" Target="../charts/chart5.xml"/><Relationship Id="rId2" Type="http://schemas.openxmlformats.org/officeDocument/2006/relationships/image" Target="../media/image10.svg"/><Relationship Id="rId16" Type="http://schemas.openxmlformats.org/officeDocument/2006/relationships/chart" Target="../charts/chart4.xml"/><Relationship Id="rId1" Type="http://schemas.openxmlformats.org/officeDocument/2006/relationships/image" Target="../media/image9.png"/><Relationship Id="rId6" Type="http://schemas.openxmlformats.org/officeDocument/2006/relationships/hyperlink" Target="#Computation!A1"/><Relationship Id="rId11" Type="http://schemas.openxmlformats.org/officeDocument/2006/relationships/image" Target="../media/image25.svg"/><Relationship Id="rId5" Type="http://schemas.openxmlformats.org/officeDocument/2006/relationships/image" Target="../media/image19.svg"/><Relationship Id="rId15" Type="http://schemas.openxmlformats.org/officeDocument/2006/relationships/chart" Target="../charts/chart3.xml"/><Relationship Id="rId10" Type="http://schemas.openxmlformats.org/officeDocument/2006/relationships/image" Target="../media/image5.png"/><Relationship Id="rId4" Type="http://schemas.openxmlformats.org/officeDocument/2006/relationships/image" Target="../media/image15.png"/><Relationship Id="rId9" Type="http://schemas.openxmlformats.org/officeDocument/2006/relationships/hyperlink" Target="#Plots!A1"/><Relationship Id="rId14" Type="http://schemas.openxmlformats.org/officeDocument/2006/relationships/image" Target="../media/image27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5.png"/><Relationship Id="rId3" Type="http://schemas.openxmlformats.org/officeDocument/2006/relationships/hyperlink" Target="#Data!A1"/><Relationship Id="rId7" Type="http://schemas.openxmlformats.org/officeDocument/2006/relationships/image" Target="../media/image23.png"/><Relationship Id="rId12" Type="http://schemas.openxmlformats.org/officeDocument/2006/relationships/hyperlink" Target="#Plots!A1"/><Relationship Id="rId17" Type="http://schemas.openxmlformats.org/officeDocument/2006/relationships/image" Target="../media/image31.svg"/><Relationship Id="rId2" Type="http://schemas.openxmlformats.org/officeDocument/2006/relationships/image" Target="../media/image10.svg"/><Relationship Id="rId16" Type="http://schemas.openxmlformats.org/officeDocument/2006/relationships/image" Target="../media/image13.png"/><Relationship Id="rId1" Type="http://schemas.openxmlformats.org/officeDocument/2006/relationships/image" Target="../media/image9.png"/><Relationship Id="rId6" Type="http://schemas.openxmlformats.org/officeDocument/2006/relationships/hyperlink" Target="#Computation!A1"/><Relationship Id="rId11" Type="http://schemas.openxmlformats.org/officeDocument/2006/relationships/image" Target="../media/image30.svg"/><Relationship Id="rId5" Type="http://schemas.openxmlformats.org/officeDocument/2006/relationships/image" Target="../media/image19.svg"/><Relationship Id="rId15" Type="http://schemas.openxmlformats.org/officeDocument/2006/relationships/hyperlink" Target="#Analysis!A1"/><Relationship Id="rId10" Type="http://schemas.openxmlformats.org/officeDocument/2006/relationships/image" Target="../media/image29.png"/><Relationship Id="rId4" Type="http://schemas.openxmlformats.org/officeDocument/2006/relationships/image" Target="../media/image15.png"/><Relationship Id="rId9" Type="http://schemas.openxmlformats.org/officeDocument/2006/relationships/hyperlink" Target="#Options!A1"/><Relationship Id="rId1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109716</xdr:colOff>
      <xdr:row>7</xdr:row>
      <xdr:rowOff>114300</xdr:rowOff>
    </xdr:from>
    <xdr:to>
      <xdr:col>17</xdr:col>
      <xdr:colOff>520349</xdr:colOff>
      <xdr:row>25</xdr:row>
      <xdr:rowOff>85725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803674" y="1472494"/>
          <a:ext cx="4061883" cy="3569759"/>
        </a:xfrm>
        <a:prstGeom prst="rect">
          <a:avLst/>
        </a:prstGeom>
        <a:noFill/>
        <a:ln w="22225">
          <a:solidFill>
            <a:srgbClr val="FBF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12845</xdr:colOff>
      <xdr:row>0</xdr:row>
      <xdr:rowOff>9525</xdr:rowOff>
    </xdr:from>
    <xdr:to>
      <xdr:col>19</xdr:col>
      <xdr:colOff>0</xdr:colOff>
      <xdr:row>27</xdr:row>
      <xdr:rowOff>180974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2845" y="9525"/>
          <a:ext cx="11569555" cy="5429249"/>
        </a:xfrm>
        <a:prstGeom prst="rect">
          <a:avLst/>
        </a:prstGeom>
        <a:noFill/>
        <a:ln w="412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2</xdr:col>
      <xdr:colOff>219075</xdr:colOff>
      <xdr:row>28</xdr:row>
      <xdr:rowOff>5443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" y="0"/>
          <a:ext cx="1438274" cy="545374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25400" dist="38100" algn="l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447675</xdr:colOff>
      <xdr:row>5</xdr:row>
      <xdr:rowOff>0</xdr:rowOff>
    </xdr:from>
    <xdr:to>
      <xdr:col>10</xdr:col>
      <xdr:colOff>104775</xdr:colOff>
      <xdr:row>7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276475" y="952500"/>
          <a:ext cx="3924300" cy="55245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101600" sx="101000" sy="101000" algn="ctr" rotWithShape="0">
            <a:prstClr val="black">
              <a:alpha val="1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419100</xdr:colOff>
      <xdr:row>6</xdr:row>
      <xdr:rowOff>76200</xdr:rowOff>
    </xdr:from>
    <xdr:to>
      <xdr:col>17</xdr:col>
      <xdr:colOff>179294</xdr:colOff>
      <xdr:row>8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075394" y="1219200"/>
          <a:ext cx="3390900" cy="48577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400049</xdr:colOff>
      <xdr:row>10</xdr:row>
      <xdr:rowOff>142876</xdr:rowOff>
    </xdr:from>
    <xdr:to>
      <xdr:col>10</xdr:col>
      <xdr:colOff>161925</xdr:colOff>
      <xdr:row>17</xdr:row>
      <xdr:rowOff>47626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2228849" y="2047876"/>
          <a:ext cx="4029076" cy="1247775"/>
        </a:xfrm>
        <a:prstGeom prst="rect">
          <a:avLst/>
        </a:prstGeom>
        <a:solidFill>
          <a:srgbClr val="FBF9FD"/>
        </a:solidFill>
        <a:ln w="222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95249</xdr:colOff>
      <xdr:row>6</xdr:row>
      <xdr:rowOff>9526</xdr:rowOff>
    </xdr:from>
    <xdr:to>
      <xdr:col>2</xdr:col>
      <xdr:colOff>123825</xdr:colOff>
      <xdr:row>7</xdr:row>
      <xdr:rowOff>180975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5249" y="1152526"/>
          <a:ext cx="1247776" cy="361949"/>
        </a:xfrm>
        <a:prstGeom prst="rect">
          <a:avLst/>
        </a:prstGeom>
        <a:solidFill>
          <a:srgbClr val="9B3AB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333374</xdr:colOff>
      <xdr:row>19</xdr:row>
      <xdr:rowOff>95250</xdr:rowOff>
    </xdr:from>
    <xdr:to>
      <xdr:col>9</xdr:col>
      <xdr:colOff>219075</xdr:colOff>
      <xdr:row>27</xdr:row>
      <xdr:rowOff>63500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788707" y="3725333"/>
          <a:ext cx="2954868" cy="1502834"/>
        </a:xfrm>
        <a:prstGeom prst="rect">
          <a:avLst/>
        </a:prstGeom>
        <a:solidFill>
          <a:srgbClr val="FBF9FD"/>
        </a:solidFill>
        <a:ln w="222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495300</xdr:colOff>
      <xdr:row>18</xdr:row>
      <xdr:rowOff>161925</xdr:rowOff>
    </xdr:from>
    <xdr:to>
      <xdr:col>9</xdr:col>
      <xdr:colOff>35490</xdr:colOff>
      <xdr:row>20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933700" y="3600450"/>
          <a:ext cx="2588190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145677</xdr:colOff>
      <xdr:row>3</xdr:row>
      <xdr:rowOff>152400</xdr:rowOff>
    </xdr:from>
    <xdr:to>
      <xdr:col>17</xdr:col>
      <xdr:colOff>457200</xdr:colOff>
      <xdr:row>5</xdr:row>
      <xdr:rowOff>22412</xdr:rowOff>
    </xdr:to>
    <xdr:sp macro="[0]!DataReset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9827559" y="723900"/>
          <a:ext cx="916641" cy="251012"/>
        </a:xfrm>
        <a:prstGeom prst="roundRect">
          <a:avLst/>
        </a:prstGeom>
        <a:solidFill>
          <a:schemeClr val="bg1"/>
        </a:solidFill>
        <a:ln w="19050">
          <a:solidFill>
            <a:srgbClr val="7030A0"/>
          </a:solidFill>
        </a:ln>
        <a:effectLst>
          <a:outerShdw blurRad="1016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85000"/>
                  <a:lumOff val="15000"/>
                </a:schemeClr>
              </a:solidFill>
            </a:rPr>
            <a:t>Data</a:t>
          </a:r>
          <a:r>
            <a:rPr lang="en-US" sz="1100" b="1" baseline="0">
              <a:solidFill>
                <a:schemeClr val="tx1">
                  <a:lumMod val="85000"/>
                  <a:lumOff val="15000"/>
                </a:schemeClr>
              </a:solidFill>
            </a:rPr>
            <a:t> Reset</a:t>
          </a:r>
          <a:endParaRPr lang="en-US" sz="1100" b="1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66674</xdr:colOff>
      <xdr:row>10</xdr:row>
      <xdr:rowOff>47625</xdr:rowOff>
    </xdr:from>
    <xdr:to>
      <xdr:col>9</xdr:col>
      <xdr:colOff>551863</xdr:colOff>
      <xdr:row>12</xdr:row>
      <xdr:rowOff>47625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505074" y="1952625"/>
          <a:ext cx="3533189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529478</xdr:colOff>
      <xdr:row>5</xdr:row>
      <xdr:rowOff>106456</xdr:rowOff>
    </xdr:from>
    <xdr:to>
      <xdr:col>4</xdr:col>
      <xdr:colOff>324410</xdr:colOff>
      <xdr:row>7</xdr:row>
      <xdr:rowOff>125506</xdr:rowOff>
    </xdr:to>
    <xdr:pic>
      <xdr:nvPicPr>
        <xdr:cNvPr id="22" name="Graphic 21" descr="Folder Search with solid fill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44831" y="1058956"/>
          <a:ext cx="400050" cy="400050"/>
        </a:xfrm>
        <a:prstGeom prst="rect">
          <a:avLst/>
        </a:prstGeom>
      </xdr:spPr>
    </xdr:pic>
    <xdr:clientData/>
  </xdr:twoCellAnchor>
  <xdr:twoCellAnchor>
    <xdr:from>
      <xdr:col>0</xdr:col>
      <xdr:colOff>261900</xdr:colOff>
      <xdr:row>6</xdr:row>
      <xdr:rowOff>38100</xdr:rowOff>
    </xdr:from>
    <xdr:to>
      <xdr:col>1</xdr:col>
      <xdr:colOff>571500</xdr:colOff>
      <xdr:row>7</xdr:row>
      <xdr:rowOff>150159</xdr:rowOff>
    </xdr:to>
    <xdr:grpSp>
      <xdr:nvGrpSpPr>
        <xdr:cNvPr id="49" name="Group 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pSpPr/>
      </xdr:nvGrpSpPr>
      <xdr:grpSpPr>
        <a:xfrm>
          <a:off x="261900" y="1198959"/>
          <a:ext cx="919795" cy="305536"/>
          <a:chOff x="261900" y="1095375"/>
          <a:chExt cx="914718" cy="30255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508185" y="1095375"/>
            <a:ext cx="668433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bg1"/>
                </a:solidFill>
                <a:latin typeface="Arial Nova" panose="020B0504020202020204" pitchFamily="34" charset="0"/>
              </a:rPr>
              <a:t>DATA</a:t>
            </a:r>
          </a:p>
        </xdr:txBody>
      </xdr:sp>
      <xdr:pic>
        <xdr:nvPicPr>
          <xdr:cNvPr id="26" name="Graphic 25" descr="Server with solid fill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1900" y="1165414"/>
            <a:ext cx="173529" cy="1735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261900</xdr:colOff>
      <xdr:row>8</xdr:row>
      <xdr:rowOff>129007</xdr:rowOff>
    </xdr:from>
    <xdr:to>
      <xdr:col>2</xdr:col>
      <xdr:colOff>28416</xdr:colOff>
      <xdr:row>10</xdr:row>
      <xdr:rowOff>50566</xdr:rowOff>
    </xdr:to>
    <xdr:grpSp>
      <xdr:nvGrpSpPr>
        <xdr:cNvPr id="45" name="Group 4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261900" y="1676820"/>
          <a:ext cx="986907" cy="308512"/>
          <a:chOff x="271584" y="1567282"/>
          <a:chExt cx="976751" cy="302559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511547" y="1567282"/>
            <a:ext cx="736788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</a:rPr>
              <a:t>PLOTS</a:t>
            </a:r>
          </a:p>
        </xdr:txBody>
      </xdr:sp>
      <xdr:pic>
        <xdr:nvPicPr>
          <xdr:cNvPr id="35" name="Graphic 34" descr="Bar chart with solid fill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271584" y="1641663"/>
            <a:ext cx="156881" cy="156881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123265</xdr:colOff>
      <xdr:row>3</xdr:row>
      <xdr:rowOff>56030</xdr:rowOff>
    </xdr:from>
    <xdr:to>
      <xdr:col>18</xdr:col>
      <xdr:colOff>212911</xdr:colOff>
      <xdr:row>3</xdr:row>
      <xdr:rowOff>56030</xdr:rowOff>
    </xdr:to>
    <xdr:cxnSp macro="">
      <xdr:nvCxnSpPr>
        <xdr:cNvPr id="39" name="Straight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1964765" y="627530"/>
          <a:ext cx="9297146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5</xdr:row>
      <xdr:rowOff>171450</xdr:rowOff>
    </xdr:from>
    <xdr:to>
      <xdr:col>9</xdr:col>
      <xdr:colOff>552450</xdr:colOff>
      <xdr:row>7</xdr:row>
      <xdr:rowOff>19050</xdr:rowOff>
    </xdr:to>
    <xdr:sp macro="[0]!RectangleRoundedCorners39_Click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5276850" y="1123950"/>
          <a:ext cx="762000" cy="228600"/>
        </a:xfrm>
        <a:prstGeom prst="roundRect">
          <a:avLst/>
        </a:prstGeom>
        <a:solidFill>
          <a:schemeClr val="bg1"/>
        </a:solidFill>
        <a:ln w="19050">
          <a:solidFill>
            <a:srgbClr val="7030A0"/>
          </a:solidFill>
        </a:ln>
        <a:effectLst>
          <a:outerShdw blurRad="1016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85000"/>
                  <a:lumOff val="15000"/>
                </a:schemeClr>
              </a:solidFill>
            </a:rPr>
            <a:t>Import</a:t>
          </a:r>
        </a:p>
      </xdr:txBody>
    </xdr:sp>
    <xdr:clientData/>
  </xdr:twoCellAnchor>
  <xdr:twoCellAnchor editAs="oneCell">
    <xdr:from>
      <xdr:col>16</xdr:col>
      <xdr:colOff>316567</xdr:colOff>
      <xdr:row>6</xdr:row>
      <xdr:rowOff>171449</xdr:rowOff>
    </xdr:from>
    <xdr:to>
      <xdr:col>17</xdr:col>
      <xdr:colOff>6724</xdr:colOff>
      <xdr:row>8</xdr:row>
      <xdr:rowOff>85724</xdr:rowOff>
    </xdr:to>
    <xdr:pic>
      <xdr:nvPicPr>
        <xdr:cNvPr id="42" name="Graphic 41" descr="Repeat with solid fill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998449" y="1314449"/>
          <a:ext cx="295275" cy="295275"/>
        </a:xfrm>
        <a:prstGeom prst="rect">
          <a:avLst/>
        </a:prstGeom>
      </xdr:spPr>
    </xdr:pic>
    <xdr:clientData/>
  </xdr:twoCellAnchor>
  <xdr:twoCellAnchor>
    <xdr:from>
      <xdr:col>4</xdr:col>
      <xdr:colOff>481853</xdr:colOff>
      <xdr:row>5</xdr:row>
      <xdr:rowOff>33618</xdr:rowOff>
    </xdr:from>
    <xdr:to>
      <xdr:col>8</xdr:col>
      <xdr:colOff>257735</xdr:colOff>
      <xdr:row>6</xdr:row>
      <xdr:rowOff>56030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2902324" y="986118"/>
          <a:ext cx="2196352" cy="2129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</a:rPr>
            <a:t>Select Data Stream to Import</a:t>
          </a:r>
        </a:p>
      </xdr:txBody>
    </xdr:sp>
    <xdr:clientData/>
  </xdr:twoCellAnchor>
  <xdr:twoCellAnchor editAs="oneCell">
    <xdr:from>
      <xdr:col>0</xdr:col>
      <xdr:colOff>437031</xdr:colOff>
      <xdr:row>1</xdr:row>
      <xdr:rowOff>145678</xdr:rowOff>
    </xdr:from>
    <xdr:to>
      <xdr:col>1</xdr:col>
      <xdr:colOff>341767</xdr:colOff>
      <xdr:row>4</xdr:row>
      <xdr:rowOff>78442</xdr:rowOff>
    </xdr:to>
    <xdr:pic>
      <xdr:nvPicPr>
        <xdr:cNvPr id="44" name="Graphic 43" descr="Venn diagram with solid fill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37031" y="336178"/>
          <a:ext cx="509854" cy="504264"/>
        </a:xfrm>
        <a:prstGeom prst="rect">
          <a:avLst/>
        </a:prstGeom>
      </xdr:spPr>
    </xdr:pic>
    <xdr:clientData/>
  </xdr:twoCellAnchor>
  <xdr:twoCellAnchor>
    <xdr:from>
      <xdr:col>4</xdr:col>
      <xdr:colOff>302556</xdr:colOff>
      <xdr:row>6</xdr:row>
      <xdr:rowOff>134469</xdr:rowOff>
    </xdr:from>
    <xdr:to>
      <xdr:col>8</xdr:col>
      <xdr:colOff>459439</xdr:colOff>
      <xdr:row>7</xdr:row>
      <xdr:rowOff>89647</xdr:rowOff>
    </xdr:to>
    <xdr:sp macro="" textlink="">
      <xdr:nvSpPr>
        <xdr:cNvPr id="17" name="FIleNameBox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723027" y="1277469"/>
          <a:ext cx="2577353" cy="1456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indent="0" algn="ctr"/>
          <a:r>
            <a:rPr lang="en-US" sz="900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C:\Users\HP PAVILION\Documents\Demo Data.xlsx</a:t>
          </a:r>
        </a:p>
      </xdr:txBody>
    </xdr:sp>
    <xdr:clientData/>
  </xdr:twoCellAnchor>
  <xdr:twoCellAnchor>
    <xdr:from>
      <xdr:col>4</xdr:col>
      <xdr:colOff>83484</xdr:colOff>
      <xdr:row>12</xdr:row>
      <xdr:rowOff>99172</xdr:rowOff>
    </xdr:from>
    <xdr:to>
      <xdr:col>9</xdr:col>
      <xdr:colOff>478491</xdr:colOff>
      <xdr:row>14</xdr:row>
      <xdr:rowOff>28575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2524265" y="2435774"/>
          <a:ext cx="3445984" cy="331239"/>
          <a:chOff x="2529168" y="2394697"/>
          <a:chExt cx="3443007" cy="310403"/>
        </a:xfrm>
      </xdr:grpSpPr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2529168" y="2394697"/>
            <a:ext cx="928408" cy="3008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>
                <a:solidFill>
                  <a:srgbClr val="312B57"/>
                </a:solidFill>
              </a:rPr>
              <a:t>Well Status</a:t>
            </a:r>
          </a:p>
        </xdr:txBody>
      </xdr:sp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3757332" y="2409265"/>
            <a:ext cx="961465" cy="2577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>
                <a:solidFill>
                  <a:srgbClr val="312B57"/>
                </a:solidFill>
              </a:rPr>
              <a:t>Fluid</a:t>
            </a:r>
            <a:r>
              <a:rPr lang="en-US" sz="1200" b="1" baseline="0">
                <a:solidFill>
                  <a:srgbClr val="312B57"/>
                </a:solidFill>
              </a:rPr>
              <a:t> Phase</a:t>
            </a:r>
            <a:endParaRPr lang="en-US" sz="1200" b="1">
              <a:solidFill>
                <a:srgbClr val="312B57"/>
              </a:solidFill>
            </a:endParaRPr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018554" y="2415988"/>
            <a:ext cx="953621" cy="289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>
                <a:solidFill>
                  <a:srgbClr val="312B57"/>
                </a:solidFill>
              </a:rPr>
              <a:t>Choke Type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172508</xdr:colOff>
          <xdr:row>14</xdr:row>
          <xdr:rowOff>38101</xdr:rowOff>
        </xdr:from>
        <xdr:to>
          <xdr:col>9</xdr:col>
          <xdr:colOff>534458</xdr:colOff>
          <xdr:row>16</xdr:row>
          <xdr:rowOff>85725</xdr:rowOff>
        </xdr:to>
        <xdr:grpSp>
          <xdr:nvGrpSpPr>
            <xdr:cNvPr id="23" name="Group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GrpSpPr/>
          </xdr:nvGrpSpPr>
          <xdr:grpSpPr>
            <a:xfrm>
              <a:off x="5054071" y="2776539"/>
              <a:ext cx="972145" cy="449459"/>
              <a:chOff x="5049278" y="2714628"/>
              <a:chExt cx="971550" cy="428575"/>
            </a:xfrm>
          </xdr:grpSpPr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200-000008040000}"/>
                  </a:ext>
                </a:extLst>
              </xdr:cNvPr>
              <xdr:cNvSpPr/>
            </xdr:nvSpPr>
            <xdr:spPr bwMode="auto">
              <a:xfrm>
                <a:off x="5057775" y="2714628"/>
                <a:ext cx="914400" cy="19049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Manual Choke</a:t>
                </a:r>
              </a:p>
            </xdr:txBody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200-000009040000}"/>
                  </a:ext>
                </a:extLst>
              </xdr:cNvPr>
              <xdr:cNvSpPr/>
            </xdr:nvSpPr>
            <xdr:spPr bwMode="auto">
              <a:xfrm>
                <a:off x="5049278" y="2924131"/>
                <a:ext cx="971550" cy="21907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Adjustible Choke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15</xdr:row>
          <xdr:rowOff>47625</xdr:rowOff>
        </xdr:from>
        <xdr:to>
          <xdr:col>7</xdr:col>
          <xdr:colOff>495300</xdr:colOff>
          <xdr:row>16</xdr:row>
          <xdr:rowOff>66675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Single Phase 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14</xdr:row>
          <xdr:rowOff>0</xdr:rowOff>
        </xdr:from>
        <xdr:to>
          <xdr:col>7</xdr:col>
          <xdr:colOff>438150</xdr:colOff>
          <xdr:row>14</xdr:row>
          <xdr:rowOff>190500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Multiphase O&amp;G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13</xdr:row>
          <xdr:rowOff>161925</xdr:rowOff>
        </xdr:from>
        <xdr:to>
          <xdr:col>10</xdr:col>
          <xdr:colOff>38100</xdr:colOff>
          <xdr:row>16</xdr:row>
          <xdr:rowOff>66675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13</xdr:row>
          <xdr:rowOff>180975</xdr:rowOff>
        </xdr:from>
        <xdr:to>
          <xdr:col>7</xdr:col>
          <xdr:colOff>600075</xdr:colOff>
          <xdr:row>16</xdr:row>
          <xdr:rowOff>85725</xdr:rowOff>
        </xdr:to>
        <xdr:sp macro="" textlink="">
          <xdr:nvSpPr>
            <xdr:cNvPr id="1041" name="Group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100852</xdr:colOff>
      <xdr:row>10</xdr:row>
      <xdr:rowOff>56029</xdr:rowOff>
    </xdr:from>
    <xdr:to>
      <xdr:col>6</xdr:col>
      <xdr:colOff>414617</xdr:colOff>
      <xdr:row>11</xdr:row>
      <xdr:rowOff>134470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2521323" y="1961029"/>
          <a:ext cx="1524000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WELL</a:t>
          </a:r>
          <a:r>
            <a:rPr lang="en-US" sz="1100" b="1" baseline="0">
              <a:solidFill>
                <a:schemeClr val="bg1"/>
              </a:solidFill>
            </a:rPr>
            <a:t> &amp; FLUID 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13</xdr:row>
          <xdr:rowOff>190500</xdr:rowOff>
        </xdr:from>
        <xdr:to>
          <xdr:col>5</xdr:col>
          <xdr:colOff>504825</xdr:colOff>
          <xdr:row>15</xdr:row>
          <xdr:rowOff>19050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Flowing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15</xdr:row>
          <xdr:rowOff>47625</xdr:rowOff>
        </xdr:from>
        <xdr:to>
          <xdr:col>5</xdr:col>
          <xdr:colOff>504825</xdr:colOff>
          <xdr:row>16</xdr:row>
          <xdr:rowOff>76200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Shut 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13</xdr:row>
          <xdr:rowOff>180975</xdr:rowOff>
        </xdr:from>
        <xdr:to>
          <xdr:col>6</xdr:col>
          <xdr:colOff>0</xdr:colOff>
          <xdr:row>16</xdr:row>
          <xdr:rowOff>85725</xdr:rowOff>
        </xdr:to>
        <xdr:sp macro="" textlink="">
          <xdr:nvSpPr>
            <xdr:cNvPr id="1049" name="Group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533400</xdr:colOff>
      <xdr:row>18</xdr:row>
      <xdr:rowOff>174811</xdr:rowOff>
    </xdr:from>
    <xdr:to>
      <xdr:col>8</xdr:col>
      <xdr:colOff>11206</xdr:colOff>
      <xdr:row>20</xdr:row>
      <xdr:rowOff>73958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 txBox="1"/>
      </xdr:nvSpPr>
      <xdr:spPr>
        <a:xfrm>
          <a:off x="2953871" y="3615017"/>
          <a:ext cx="1898276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COMPUTATION OPTIONS</a:t>
          </a:r>
        </a:p>
      </xdr:txBody>
    </xdr:sp>
    <xdr:clientData/>
  </xdr:twoCellAnchor>
  <xdr:twoCellAnchor>
    <xdr:from>
      <xdr:col>11</xdr:col>
      <xdr:colOff>506507</xdr:colOff>
      <xdr:row>6</xdr:row>
      <xdr:rowOff>114299</xdr:rowOff>
    </xdr:from>
    <xdr:to>
      <xdr:col>13</xdr:col>
      <xdr:colOff>476250</xdr:colOff>
      <xdr:row>8</xdr:row>
      <xdr:rowOff>13446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 txBox="1"/>
      </xdr:nvSpPr>
      <xdr:spPr>
        <a:xfrm>
          <a:off x="7258674" y="1257299"/>
          <a:ext cx="1197409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DATA SUMMARY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21</xdr:row>
          <xdr:rowOff>133350</xdr:rowOff>
        </xdr:from>
        <xdr:to>
          <xdr:col>8</xdr:col>
          <xdr:colOff>495300</xdr:colOff>
          <xdr:row>22</xdr:row>
          <xdr:rowOff>133350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23</xdr:row>
          <xdr:rowOff>152400</xdr:rowOff>
        </xdr:from>
        <xdr:to>
          <xdr:col>8</xdr:col>
          <xdr:colOff>495300</xdr:colOff>
          <xdr:row>24</xdr:row>
          <xdr:rowOff>133350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25</xdr:row>
          <xdr:rowOff>152400</xdr:rowOff>
        </xdr:from>
        <xdr:to>
          <xdr:col>8</xdr:col>
          <xdr:colOff>495300</xdr:colOff>
          <xdr:row>26</xdr:row>
          <xdr:rowOff>152400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529167</xdr:colOff>
      <xdr:row>21</xdr:row>
      <xdr:rowOff>105831</xdr:rowOff>
    </xdr:from>
    <xdr:to>
      <xdr:col>6</xdr:col>
      <xdr:colOff>395918</xdr:colOff>
      <xdr:row>22</xdr:row>
      <xdr:rowOff>149659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2984500" y="4116914"/>
          <a:ext cx="1094418" cy="234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50" b="0">
              <a:solidFill>
                <a:srgbClr val="312B57"/>
              </a:solidFill>
            </a:rPr>
            <a:t>Flow Condition</a:t>
          </a:r>
        </a:p>
      </xdr:txBody>
    </xdr:sp>
    <xdr:clientData/>
  </xdr:twoCellAnchor>
  <xdr:twoCellAnchor>
    <xdr:from>
      <xdr:col>4</xdr:col>
      <xdr:colOff>529167</xdr:colOff>
      <xdr:row>23</xdr:row>
      <xdr:rowOff>115670</xdr:rowOff>
    </xdr:from>
    <xdr:to>
      <xdr:col>6</xdr:col>
      <xdr:colOff>243417</xdr:colOff>
      <xdr:row>24</xdr:row>
      <xdr:rowOff>148914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2984500" y="4507753"/>
          <a:ext cx="941917" cy="234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50" b="0">
              <a:solidFill>
                <a:srgbClr val="312B57"/>
              </a:solidFill>
            </a:rPr>
            <a:t>Model</a:t>
          </a:r>
        </a:p>
      </xdr:txBody>
    </xdr:sp>
    <xdr:clientData/>
  </xdr:twoCellAnchor>
  <xdr:twoCellAnchor>
    <xdr:from>
      <xdr:col>4</xdr:col>
      <xdr:colOff>529167</xdr:colOff>
      <xdr:row>25</xdr:row>
      <xdr:rowOff>125508</xdr:rowOff>
    </xdr:from>
    <xdr:to>
      <xdr:col>6</xdr:col>
      <xdr:colOff>243417</xdr:colOff>
      <xdr:row>26</xdr:row>
      <xdr:rowOff>169336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2984500" y="4909175"/>
          <a:ext cx="941917" cy="2343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50" b="0">
              <a:solidFill>
                <a:srgbClr val="312B57"/>
              </a:solidFill>
            </a:rPr>
            <a:t>Method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552450</xdr:colOff>
          <xdr:row>6</xdr:row>
          <xdr:rowOff>161925</xdr:rowOff>
        </xdr:from>
        <xdr:to>
          <xdr:col>14</xdr:col>
          <xdr:colOff>552450</xdr:colOff>
          <xdr:row>7</xdr:row>
          <xdr:rowOff>171450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510742</xdr:colOff>
      <xdr:row>6</xdr:row>
      <xdr:rowOff>118532</xdr:rowOff>
    </xdr:from>
    <xdr:to>
      <xdr:col>15</xdr:col>
      <xdr:colOff>381001</xdr:colOff>
      <xdr:row>8</xdr:row>
      <xdr:rowOff>17679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 txBox="1"/>
      </xdr:nvSpPr>
      <xdr:spPr>
        <a:xfrm>
          <a:off x="9104409" y="1261532"/>
          <a:ext cx="484092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Mins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10</xdr:row>
          <xdr:rowOff>190500</xdr:rowOff>
        </xdr:from>
        <xdr:to>
          <xdr:col>17</xdr:col>
          <xdr:colOff>238125</xdr:colOff>
          <xdr:row>23</xdr:row>
          <xdr:rowOff>95250</xdr:rowOff>
        </xdr:to>
        <xdr:sp macro="" textlink="">
          <xdr:nvSpPr>
            <xdr:cNvPr id="1062" name="Scroll Bar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247650</xdr:colOff>
      <xdr:row>11</xdr:row>
      <xdr:rowOff>28575</xdr:rowOff>
    </xdr:from>
    <xdr:to>
      <xdr:col>2</xdr:col>
      <xdr:colOff>68755</xdr:colOff>
      <xdr:row>12</xdr:row>
      <xdr:rowOff>138953</xdr:rowOff>
    </xdr:to>
    <xdr:grpSp>
      <xdr:nvGrpSpPr>
        <xdr:cNvPr id="91" name="Group 9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GrpSpPr/>
      </xdr:nvGrpSpPr>
      <xdr:grpSpPr>
        <a:xfrm>
          <a:off x="247650" y="2164259"/>
          <a:ext cx="1041496" cy="311296"/>
          <a:chOff x="283670" y="2084013"/>
          <a:chExt cx="1032220" cy="302559"/>
        </a:xfrm>
      </xdr:grpSpPr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495859" y="2084013"/>
            <a:ext cx="820031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</a:rPr>
              <a:t>COMPUTE</a:t>
            </a:r>
          </a:p>
        </xdr:txBody>
      </xdr:sp>
      <xdr:pic>
        <xdr:nvPicPr>
          <xdr:cNvPr id="93" name="Graphic 92" descr="Cmd Terminal with solid fill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83670" y="2151688"/>
            <a:ext cx="163102" cy="1620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247650</xdr:colOff>
      <xdr:row>13</xdr:row>
      <xdr:rowOff>144696</xdr:rowOff>
    </xdr:from>
    <xdr:to>
      <xdr:col>2</xdr:col>
      <xdr:colOff>86603</xdr:colOff>
      <xdr:row>15</xdr:row>
      <xdr:rowOff>66255</xdr:rowOff>
    </xdr:to>
    <xdr:grpSp>
      <xdr:nvGrpSpPr>
        <xdr:cNvPr id="97" name="Group 9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GrpSpPr/>
      </xdr:nvGrpSpPr>
      <xdr:grpSpPr>
        <a:xfrm>
          <a:off x="247650" y="2682216"/>
          <a:ext cx="1059344" cy="323394"/>
          <a:chOff x="294397" y="2578332"/>
          <a:chExt cx="1146678" cy="302559"/>
        </a:xfrm>
      </xdr:grpSpPr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508746" y="2578332"/>
            <a:ext cx="932329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</a:rPr>
              <a:t>ANALYZE</a:t>
            </a:r>
          </a:p>
        </xdr:txBody>
      </xdr:sp>
      <xdr:pic>
        <xdr:nvPicPr>
          <xdr:cNvPr id="99" name="Graphic 98" descr="Supply And Demand with solid fill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94397" y="2651172"/>
            <a:ext cx="171827" cy="171827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259977</xdr:colOff>
      <xdr:row>1</xdr:row>
      <xdr:rowOff>104775</xdr:rowOff>
    </xdr:from>
    <xdr:to>
      <xdr:col>15</xdr:col>
      <xdr:colOff>571500</xdr:colOff>
      <xdr:row>2</xdr:row>
      <xdr:rowOff>165287</xdr:rowOff>
    </xdr:to>
    <xdr:sp macro="[0]!Full_screen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794377" y="295275"/>
          <a:ext cx="921123" cy="251012"/>
        </a:xfrm>
        <a:prstGeom prst="roundRect">
          <a:avLst/>
        </a:prstGeom>
        <a:solidFill>
          <a:schemeClr val="bg1"/>
        </a:solidFill>
        <a:ln w="19050">
          <a:solidFill>
            <a:srgbClr val="7030A0"/>
          </a:solidFill>
        </a:ln>
        <a:effectLst>
          <a:outerShdw blurRad="1016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85000"/>
                  <a:lumOff val="15000"/>
                </a:schemeClr>
              </a:solidFill>
            </a:rPr>
            <a:t>Full Screen</a:t>
          </a:r>
        </a:p>
      </xdr:txBody>
    </xdr:sp>
    <xdr:clientData/>
  </xdr:twoCellAnchor>
  <xdr:twoCellAnchor>
    <xdr:from>
      <xdr:col>16</xdr:col>
      <xdr:colOff>136152</xdr:colOff>
      <xdr:row>1</xdr:row>
      <xdr:rowOff>104775</xdr:rowOff>
    </xdr:from>
    <xdr:to>
      <xdr:col>17</xdr:col>
      <xdr:colOff>466725</xdr:colOff>
      <xdr:row>2</xdr:row>
      <xdr:rowOff>165287</xdr:rowOff>
    </xdr:to>
    <xdr:sp macro="[0]!ExitFull_screen" textlink="">
      <xdr:nvSpPr>
        <xdr:cNvPr id="62" name="Rectangle: Rounded Corners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9889752" y="295275"/>
          <a:ext cx="940173" cy="251012"/>
        </a:xfrm>
        <a:prstGeom prst="roundRect">
          <a:avLst/>
        </a:prstGeom>
        <a:solidFill>
          <a:schemeClr val="bg1"/>
        </a:solidFill>
        <a:ln w="19050">
          <a:solidFill>
            <a:srgbClr val="7030A0"/>
          </a:solidFill>
        </a:ln>
        <a:effectLst>
          <a:outerShdw blurRad="1016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chemeClr val="tx1">
                  <a:lumMod val="85000"/>
                  <a:lumOff val="15000"/>
                </a:schemeClr>
              </a:solidFill>
            </a:rPr>
            <a:t>Exit Full Screen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12845</xdr:colOff>
      <xdr:row>0</xdr:row>
      <xdr:rowOff>9525</xdr:rowOff>
    </xdr:from>
    <xdr:to>
      <xdr:col>19</xdr:col>
      <xdr:colOff>0</xdr:colOff>
      <xdr:row>27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845" y="9525"/>
          <a:ext cx="11569555" cy="5314949"/>
        </a:xfrm>
        <a:prstGeom prst="rect">
          <a:avLst/>
        </a:prstGeom>
        <a:noFill/>
        <a:ln w="412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0</xdr:row>
      <xdr:rowOff>19050</xdr:rowOff>
    </xdr:from>
    <xdr:to>
      <xdr:col>2</xdr:col>
      <xdr:colOff>219075</xdr:colOff>
      <xdr:row>28</xdr:row>
      <xdr:rowOff>5443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" y="19050"/>
          <a:ext cx="1438274" cy="532039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25400" dist="38100" algn="l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123263</xdr:colOff>
      <xdr:row>6</xdr:row>
      <xdr:rowOff>109258</xdr:rowOff>
    </xdr:from>
    <xdr:to>
      <xdr:col>14</xdr:col>
      <xdr:colOff>590550</xdr:colOff>
      <xdr:row>25</xdr:row>
      <xdr:rowOff>145676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61663" y="1252258"/>
          <a:ext cx="6563287" cy="3655918"/>
        </a:xfrm>
        <a:prstGeom prst="rect">
          <a:avLst/>
        </a:prstGeom>
        <a:solidFill>
          <a:srgbClr val="FBF9FD"/>
        </a:solidFill>
        <a:ln w="34925">
          <a:solidFill>
            <a:srgbClr val="3C1A56"/>
          </a:solidFill>
        </a:ln>
        <a:effectLst>
          <a:outerShdw blurRad="152400" algn="ctr" rotWithShape="0">
            <a:prstClr val="black">
              <a:alpha val="1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76199</xdr:colOff>
      <xdr:row>8</xdr:row>
      <xdr:rowOff>78442</xdr:rowOff>
    </xdr:from>
    <xdr:to>
      <xdr:col>2</xdr:col>
      <xdr:colOff>104775</xdr:colOff>
      <xdr:row>10</xdr:row>
      <xdr:rowOff>59391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6199" y="1602442"/>
          <a:ext cx="1247776" cy="361949"/>
        </a:xfrm>
        <a:prstGeom prst="rect">
          <a:avLst/>
        </a:prstGeom>
        <a:solidFill>
          <a:srgbClr val="9B3AB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123265</xdr:colOff>
      <xdr:row>3</xdr:row>
      <xdr:rowOff>56030</xdr:rowOff>
    </xdr:from>
    <xdr:to>
      <xdr:col>18</xdr:col>
      <xdr:colOff>212911</xdr:colOff>
      <xdr:row>3</xdr:row>
      <xdr:rowOff>56030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1952065" y="627530"/>
          <a:ext cx="9233646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437031</xdr:colOff>
      <xdr:row>1</xdr:row>
      <xdr:rowOff>145678</xdr:rowOff>
    </xdr:from>
    <xdr:to>
      <xdr:col>1</xdr:col>
      <xdr:colOff>341767</xdr:colOff>
      <xdr:row>4</xdr:row>
      <xdr:rowOff>78442</xdr:rowOff>
    </xdr:to>
    <xdr:pic>
      <xdr:nvPicPr>
        <xdr:cNvPr id="17" name="Graphic 16" descr="Venn diagram with solid fill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7031" y="336178"/>
          <a:ext cx="514336" cy="504264"/>
        </a:xfrm>
        <a:prstGeom prst="rect">
          <a:avLst/>
        </a:prstGeom>
      </xdr:spPr>
    </xdr:pic>
    <xdr:clientData/>
  </xdr:twoCellAnchor>
  <xdr:twoCellAnchor>
    <xdr:from>
      <xdr:col>0</xdr:col>
      <xdr:colOff>255096</xdr:colOff>
      <xdr:row>5</xdr:row>
      <xdr:rowOff>171449</xdr:rowOff>
    </xdr:from>
    <xdr:to>
      <xdr:col>1</xdr:col>
      <xdr:colOff>564696</xdr:colOff>
      <xdr:row>7</xdr:row>
      <xdr:rowOff>93008</xdr:rowOff>
    </xdr:to>
    <xdr:grpSp>
      <xdr:nvGrpSpPr>
        <xdr:cNvPr id="19" name="Group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255096" y="1112190"/>
          <a:ext cx="921081" cy="297855"/>
          <a:chOff x="261900" y="1095375"/>
          <a:chExt cx="914718" cy="302559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 txBox="1"/>
        </xdr:nvSpPr>
        <xdr:spPr>
          <a:xfrm>
            <a:off x="508185" y="1095375"/>
            <a:ext cx="668433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DATA</a:t>
            </a:r>
          </a:p>
        </xdr:txBody>
      </xdr:sp>
      <xdr:pic>
        <xdr:nvPicPr>
          <xdr:cNvPr id="21" name="Graphic 20" descr="Server with solid fill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1900" y="1165414"/>
            <a:ext cx="173529" cy="1735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255096</xdr:colOff>
      <xdr:row>11</xdr:row>
      <xdr:rowOff>45103</xdr:rowOff>
    </xdr:from>
    <xdr:to>
      <xdr:col>2</xdr:col>
      <xdr:colOff>76201</xdr:colOff>
      <xdr:row>12</xdr:row>
      <xdr:rowOff>165006</xdr:rowOff>
    </xdr:to>
    <xdr:grpSp>
      <xdr:nvGrpSpPr>
        <xdr:cNvPr id="22" name="Group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255096" y="2114733"/>
          <a:ext cx="1044068" cy="308051"/>
          <a:chOff x="283670" y="2084013"/>
          <a:chExt cx="1032220" cy="302559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495859" y="2084013"/>
            <a:ext cx="820031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</a:rPr>
              <a:t>COMPUTE</a:t>
            </a:r>
          </a:p>
        </xdr:txBody>
      </xdr:sp>
      <xdr:pic>
        <xdr:nvPicPr>
          <xdr:cNvPr id="24" name="Graphic 23" descr="Cmd Terminal with solid fill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83670" y="2151688"/>
            <a:ext cx="163102" cy="1620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255096</xdr:colOff>
      <xdr:row>8</xdr:row>
      <xdr:rowOff>108276</xdr:rowOff>
    </xdr:from>
    <xdr:to>
      <xdr:col>2</xdr:col>
      <xdr:colOff>21612</xdr:colOff>
      <xdr:row>10</xdr:row>
      <xdr:rowOff>29835</xdr:rowOff>
    </xdr:to>
    <xdr:grpSp>
      <xdr:nvGrpSpPr>
        <xdr:cNvPr id="28" name="Group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255096" y="1613461"/>
          <a:ext cx="989479" cy="297855"/>
          <a:chOff x="271584" y="1567282"/>
          <a:chExt cx="976751" cy="30255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511547" y="1567282"/>
            <a:ext cx="736788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bg1"/>
                </a:solidFill>
                <a:latin typeface="Arial Nova" panose="020B0504020202020204" pitchFamily="34" charset="0"/>
              </a:rPr>
              <a:t>PLOTS</a:t>
            </a:r>
          </a:p>
        </xdr:txBody>
      </xdr:sp>
      <xdr:pic>
        <xdr:nvPicPr>
          <xdr:cNvPr id="30" name="Graphic 29" descr="Bar chart with solid fill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 flipH="1">
            <a:off x="271584" y="1641663"/>
            <a:ext cx="156881" cy="15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255096</xdr:colOff>
      <xdr:row>13</xdr:row>
      <xdr:rowOff>180274</xdr:rowOff>
    </xdr:from>
    <xdr:to>
      <xdr:col>2</xdr:col>
      <xdr:colOff>94049</xdr:colOff>
      <xdr:row>15</xdr:row>
      <xdr:rowOff>120883</xdr:rowOff>
    </xdr:to>
    <xdr:grpSp>
      <xdr:nvGrpSpPr>
        <xdr:cNvPr id="31" name="Group 3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255096" y="2626200"/>
          <a:ext cx="1061916" cy="316905"/>
          <a:chOff x="294397" y="2578332"/>
          <a:chExt cx="1146678" cy="302559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508746" y="2578332"/>
            <a:ext cx="932329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</a:rPr>
              <a:t>ANALYZE</a:t>
            </a:r>
          </a:p>
        </xdr:txBody>
      </xdr:sp>
      <xdr:pic>
        <xdr:nvPicPr>
          <xdr:cNvPr id="33" name="Graphic 32" descr="Supply And Demand with solid fill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94397" y="2651172"/>
            <a:ext cx="171827" cy="17182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123825</xdr:rowOff>
        </xdr:from>
        <xdr:to>
          <xdr:col>15</xdr:col>
          <xdr:colOff>438150</xdr:colOff>
          <xdr:row>9</xdr:row>
          <xdr:rowOff>9525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23</xdr:row>
          <xdr:rowOff>180975</xdr:rowOff>
        </xdr:from>
        <xdr:to>
          <xdr:col>8</xdr:col>
          <xdr:colOff>581025</xdr:colOff>
          <xdr:row>24</xdr:row>
          <xdr:rowOff>161925</xdr:rowOff>
        </xdr:to>
        <xdr:sp macro="" textlink="">
          <xdr:nvSpPr>
            <xdr:cNvPr id="4101" name="Drop Dow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23</xdr:row>
          <xdr:rowOff>180975</xdr:rowOff>
        </xdr:from>
        <xdr:to>
          <xdr:col>14</xdr:col>
          <xdr:colOff>0</xdr:colOff>
          <xdr:row>24</xdr:row>
          <xdr:rowOff>161925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190500</xdr:colOff>
      <xdr:row>23</xdr:row>
      <xdr:rowOff>142875</xdr:rowOff>
    </xdr:from>
    <xdr:to>
      <xdr:col>6</xdr:col>
      <xdr:colOff>104775</xdr:colOff>
      <xdr:row>25</xdr:row>
      <xdr:rowOff>9525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3238500" y="4524375"/>
          <a:ext cx="5238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 spc="70" baseline="0"/>
            <a:t>X-AXIS</a:t>
          </a:r>
        </a:p>
      </xdr:txBody>
    </xdr:sp>
    <xdr:clientData/>
  </xdr:twoCellAnchor>
  <xdr:twoCellAnchor>
    <xdr:from>
      <xdr:col>10</xdr:col>
      <xdr:colOff>219075</xdr:colOff>
      <xdr:row>23</xdr:row>
      <xdr:rowOff>142875</xdr:rowOff>
    </xdr:from>
    <xdr:to>
      <xdr:col>11</xdr:col>
      <xdr:colOff>133350</xdr:colOff>
      <xdr:row>25</xdr:row>
      <xdr:rowOff>9525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6315075" y="4524375"/>
          <a:ext cx="5238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 spc="70" baseline="0"/>
            <a:t>Y-AXIS</a:t>
          </a:r>
        </a:p>
      </xdr:txBody>
    </xdr:sp>
    <xdr:clientData/>
  </xdr:twoCellAnchor>
  <xdr:twoCellAnchor>
    <xdr:from>
      <xdr:col>5</xdr:col>
      <xdr:colOff>229232</xdr:colOff>
      <xdr:row>7</xdr:row>
      <xdr:rowOff>183094</xdr:rowOff>
    </xdr:from>
    <xdr:to>
      <xdr:col>13</xdr:col>
      <xdr:colOff>590015</xdr:colOff>
      <xdr:row>23</xdr:row>
      <xdr:rowOff>8282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12845</xdr:colOff>
      <xdr:row>0</xdr:row>
      <xdr:rowOff>175845</xdr:rowOff>
    </xdr:from>
    <xdr:to>
      <xdr:col>18</xdr:col>
      <xdr:colOff>409575</xdr:colOff>
      <xdr:row>27</xdr:row>
      <xdr:rowOff>182655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845" y="175845"/>
          <a:ext cx="11569555" cy="5169360"/>
        </a:xfrm>
        <a:prstGeom prst="rect">
          <a:avLst/>
        </a:prstGeom>
        <a:noFill/>
        <a:ln w="412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2</xdr:col>
      <xdr:colOff>219075</xdr:colOff>
      <xdr:row>28</xdr:row>
      <xdr:rowOff>5443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" y="0"/>
          <a:ext cx="1438274" cy="535849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25400" dist="38100" algn="l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123265</xdr:colOff>
      <xdr:row>3</xdr:row>
      <xdr:rowOff>56030</xdr:rowOff>
    </xdr:from>
    <xdr:to>
      <xdr:col>18</xdr:col>
      <xdr:colOff>212911</xdr:colOff>
      <xdr:row>3</xdr:row>
      <xdr:rowOff>56030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>
          <a:off x="1952065" y="627530"/>
          <a:ext cx="9233646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437031</xdr:colOff>
      <xdr:row>1</xdr:row>
      <xdr:rowOff>145678</xdr:rowOff>
    </xdr:from>
    <xdr:to>
      <xdr:col>1</xdr:col>
      <xdr:colOff>341767</xdr:colOff>
      <xdr:row>4</xdr:row>
      <xdr:rowOff>78442</xdr:rowOff>
    </xdr:to>
    <xdr:pic>
      <xdr:nvPicPr>
        <xdr:cNvPr id="28" name="Graphic 27" descr="Venn diagram with solid fill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7031" y="336178"/>
          <a:ext cx="514336" cy="504264"/>
        </a:xfrm>
        <a:prstGeom prst="rect">
          <a:avLst/>
        </a:prstGeom>
      </xdr:spPr>
    </xdr:pic>
    <xdr:clientData/>
  </xdr:twoCellAnchor>
  <xdr:twoCellAnchor>
    <xdr:from>
      <xdr:col>3</xdr:col>
      <xdr:colOff>123265</xdr:colOff>
      <xdr:row>5</xdr:row>
      <xdr:rowOff>3442</xdr:rowOff>
    </xdr:from>
    <xdr:to>
      <xdr:col>8</xdr:col>
      <xdr:colOff>8966</xdr:colOff>
      <xdr:row>12</xdr:row>
      <xdr:rowOff>27695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938618" y="955942"/>
          <a:ext cx="2911289" cy="1357753"/>
        </a:xfrm>
        <a:prstGeom prst="rect">
          <a:avLst/>
        </a:prstGeom>
        <a:solidFill>
          <a:srgbClr val="FBF9FD"/>
        </a:solidFill>
        <a:ln w="222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330014</xdr:colOff>
      <xdr:row>4</xdr:row>
      <xdr:rowOff>2882</xdr:rowOff>
    </xdr:from>
    <xdr:to>
      <xdr:col>7</xdr:col>
      <xdr:colOff>475321</xdr:colOff>
      <xdr:row>6</xdr:row>
      <xdr:rowOff>12407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2166978" y="764882"/>
          <a:ext cx="2594593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64754</xdr:colOff>
      <xdr:row>14</xdr:row>
      <xdr:rowOff>112300</xdr:rowOff>
    </xdr:from>
    <xdr:to>
      <xdr:col>7</xdr:col>
      <xdr:colOff>562777</xdr:colOff>
      <xdr:row>21</xdr:row>
      <xdr:rowOff>109339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901718" y="2806514"/>
          <a:ext cx="2947309" cy="1330539"/>
        </a:xfrm>
        <a:prstGeom prst="rect">
          <a:avLst/>
        </a:prstGeom>
        <a:solidFill>
          <a:srgbClr val="FBF9FD"/>
        </a:solidFill>
        <a:ln w="222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274225</xdr:colOff>
      <xdr:row>13</xdr:row>
      <xdr:rowOff>111740</xdr:rowOff>
    </xdr:from>
    <xdr:to>
      <xdr:col>7</xdr:col>
      <xdr:colOff>419532</xdr:colOff>
      <xdr:row>15</xdr:row>
      <xdr:rowOff>121265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111189" y="2615454"/>
          <a:ext cx="2594593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521634</xdr:colOff>
      <xdr:row>18</xdr:row>
      <xdr:rowOff>135910</xdr:rowOff>
    </xdr:from>
    <xdr:to>
      <xdr:col>14</xdr:col>
      <xdr:colOff>245971</xdr:colOff>
      <xdr:row>27</xdr:row>
      <xdr:rowOff>21930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5398434" y="3553704"/>
          <a:ext cx="3572437" cy="1629095"/>
        </a:xfrm>
        <a:prstGeom prst="rect">
          <a:avLst/>
        </a:prstGeom>
        <a:noFill/>
        <a:ln w="41275">
          <a:solidFill>
            <a:srgbClr val="FBF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745752</xdr:colOff>
      <xdr:row>17</xdr:row>
      <xdr:rowOff>135351</xdr:rowOff>
    </xdr:from>
    <xdr:to>
      <xdr:col>14</xdr:col>
      <xdr:colOff>102726</xdr:colOff>
      <xdr:row>19</xdr:row>
      <xdr:rowOff>144876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5622552" y="3362645"/>
          <a:ext cx="3205074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8</xdr:col>
      <xdr:colOff>504265</xdr:colOff>
      <xdr:row>3</xdr:row>
      <xdr:rowOff>173690</xdr:rowOff>
    </xdr:from>
    <xdr:to>
      <xdr:col>15</xdr:col>
      <xdr:colOff>503464</xdr:colOff>
      <xdr:row>16</xdr:row>
      <xdr:rowOff>52027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5345206" y="745190"/>
          <a:ext cx="4425523" cy="2343631"/>
        </a:xfrm>
        <a:prstGeom prst="rect">
          <a:avLst/>
        </a:prstGeom>
        <a:solidFill>
          <a:srgbClr val="FBF9FD"/>
        </a:solidFill>
        <a:ln w="34925">
          <a:solidFill>
            <a:srgbClr val="3C1A56"/>
          </a:solidFill>
        </a:ln>
        <a:effectLst>
          <a:outerShdw blurRad="152400" algn="ctr" rotWithShape="0">
            <a:prstClr val="black">
              <a:alpha val="1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23</xdr:row>
          <xdr:rowOff>0</xdr:rowOff>
        </xdr:from>
        <xdr:to>
          <xdr:col>5</xdr:col>
          <xdr:colOff>447675</xdr:colOff>
          <xdr:row>24</xdr:row>
          <xdr:rowOff>76200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Mathematical Computation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24</xdr:row>
          <xdr:rowOff>95250</xdr:rowOff>
        </xdr:from>
        <xdr:to>
          <xdr:col>5</xdr:col>
          <xdr:colOff>447675</xdr:colOff>
          <xdr:row>25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Random Forrest Regression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600075</xdr:colOff>
      <xdr:row>23</xdr:row>
      <xdr:rowOff>38100</xdr:rowOff>
    </xdr:from>
    <xdr:to>
      <xdr:col>8</xdr:col>
      <xdr:colOff>138393</xdr:colOff>
      <xdr:row>24</xdr:row>
      <xdr:rowOff>76200</xdr:rowOff>
    </xdr:to>
    <xdr:sp macro="[0]!Clear_Click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4257675" y="4429125"/>
          <a:ext cx="757518" cy="238125"/>
        </a:xfrm>
        <a:prstGeom prst="roundRect">
          <a:avLst/>
        </a:prstGeom>
        <a:solidFill>
          <a:schemeClr val="bg1"/>
        </a:solidFill>
        <a:ln w="19050">
          <a:solidFill>
            <a:srgbClr val="7030A0"/>
          </a:solidFill>
        </a:ln>
        <a:effectLst>
          <a:outerShdw blurRad="1016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75000"/>
                  <a:lumOff val="25000"/>
                </a:schemeClr>
              </a:solidFill>
            </a:rPr>
            <a:t>Clear</a:t>
          </a:r>
        </a:p>
      </xdr:txBody>
    </xdr:sp>
    <xdr:clientData/>
  </xdr:twoCellAnchor>
  <xdr:twoCellAnchor>
    <xdr:from>
      <xdr:col>6</xdr:col>
      <xdr:colOff>600075</xdr:colOff>
      <xdr:row>24</xdr:row>
      <xdr:rowOff>180975</xdr:rowOff>
    </xdr:from>
    <xdr:to>
      <xdr:col>8</xdr:col>
      <xdr:colOff>138393</xdr:colOff>
      <xdr:row>26</xdr:row>
      <xdr:rowOff>28575</xdr:rowOff>
    </xdr:to>
    <xdr:sp macro="[0]!Calculate_Click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4257675" y="4772025"/>
          <a:ext cx="757518" cy="238125"/>
        </a:xfrm>
        <a:prstGeom prst="roundRect">
          <a:avLst/>
        </a:prstGeom>
        <a:solidFill>
          <a:schemeClr val="bg1"/>
        </a:solidFill>
        <a:ln w="19050">
          <a:solidFill>
            <a:srgbClr val="7030A0"/>
          </a:solidFill>
        </a:ln>
        <a:effectLst>
          <a:outerShdw blurRad="1016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75000"/>
                  <a:lumOff val="25000"/>
                </a:schemeClr>
              </a:solidFill>
            </a:rPr>
            <a:t>Compute</a:t>
          </a:r>
        </a:p>
      </xdr:txBody>
    </xdr:sp>
    <xdr:clientData/>
  </xdr:twoCellAnchor>
  <xdr:twoCellAnchor editAs="absolute">
    <xdr:from>
      <xdr:col>14</xdr:col>
      <xdr:colOff>445435</xdr:colOff>
      <xdr:row>18</xdr:row>
      <xdr:rowOff>116860</xdr:rowOff>
    </xdr:from>
    <xdr:to>
      <xdr:col>17</xdr:col>
      <xdr:colOff>190500</xdr:colOff>
      <xdr:row>27</xdr:row>
      <xdr:rowOff>2880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9170335" y="3534654"/>
          <a:ext cx="1583390" cy="1629095"/>
        </a:xfrm>
        <a:prstGeom prst="rect">
          <a:avLst/>
        </a:prstGeom>
        <a:noFill/>
        <a:ln w="41275">
          <a:solidFill>
            <a:srgbClr val="FBF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564777</xdr:colOff>
      <xdr:row>17</xdr:row>
      <xdr:rowOff>125826</xdr:rowOff>
    </xdr:from>
    <xdr:to>
      <xdr:col>17</xdr:col>
      <xdr:colOff>15876</xdr:colOff>
      <xdr:row>19</xdr:row>
      <xdr:rowOff>135351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9226924" y="3353120"/>
          <a:ext cx="1277658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76200</xdr:colOff>
      <xdr:row>11</xdr:row>
      <xdr:rowOff>11768</xdr:rowOff>
    </xdr:from>
    <xdr:to>
      <xdr:col>2</xdr:col>
      <xdr:colOff>104776</xdr:colOff>
      <xdr:row>12</xdr:row>
      <xdr:rowOff>183217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76200" y="2107268"/>
          <a:ext cx="1247776" cy="361949"/>
        </a:xfrm>
        <a:prstGeom prst="rect">
          <a:avLst/>
        </a:prstGeom>
        <a:solidFill>
          <a:srgbClr val="9B3AB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255097</xdr:colOff>
      <xdr:row>5</xdr:row>
      <xdr:rowOff>171450</xdr:rowOff>
    </xdr:from>
    <xdr:to>
      <xdr:col>1</xdr:col>
      <xdr:colOff>564697</xdr:colOff>
      <xdr:row>7</xdr:row>
      <xdr:rowOff>93009</xdr:rowOff>
    </xdr:to>
    <xdr:grpSp>
      <xdr:nvGrpSpPr>
        <xdr:cNvPr id="37" name="Group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pSpPr/>
      </xdr:nvGrpSpPr>
      <xdr:grpSpPr>
        <a:xfrm>
          <a:off x="255097" y="1111816"/>
          <a:ext cx="916288" cy="297706"/>
          <a:chOff x="261900" y="1095375"/>
          <a:chExt cx="914718" cy="302559"/>
        </a:xfrm>
      </xdr:grpSpPr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400-00002A000000}"/>
              </a:ext>
            </a:extLst>
          </xdr:cNvPr>
          <xdr:cNvSpPr txBox="1"/>
        </xdr:nvSpPr>
        <xdr:spPr>
          <a:xfrm>
            <a:off x="508185" y="1095375"/>
            <a:ext cx="668433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DATA</a:t>
            </a:r>
          </a:p>
        </xdr:txBody>
      </xdr:sp>
      <xdr:pic>
        <xdr:nvPicPr>
          <xdr:cNvPr id="43" name="Graphic 42" descr="Server with solid fill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1900" y="1165414"/>
            <a:ext cx="173529" cy="1735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11</xdr:row>
      <xdr:rowOff>45104</xdr:rowOff>
    </xdr:from>
    <xdr:to>
      <xdr:col>2</xdr:col>
      <xdr:colOff>76202</xdr:colOff>
      <xdr:row>12</xdr:row>
      <xdr:rowOff>165007</xdr:rowOff>
    </xdr:to>
    <xdr:grpSp>
      <xdr:nvGrpSpPr>
        <xdr:cNvPr id="44" name="Group 4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pSpPr/>
      </xdr:nvGrpSpPr>
      <xdr:grpSpPr>
        <a:xfrm>
          <a:off x="255097" y="2113910"/>
          <a:ext cx="1034481" cy="301909"/>
          <a:chOff x="283670" y="2084013"/>
          <a:chExt cx="1032220" cy="302559"/>
        </a:xfrm>
      </xdr:grpSpPr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00000000-0008-0000-0400-00002D000000}"/>
              </a:ext>
            </a:extLst>
          </xdr:cNvPr>
          <xdr:cNvSpPr txBox="1"/>
        </xdr:nvSpPr>
        <xdr:spPr>
          <a:xfrm>
            <a:off x="495859" y="2084013"/>
            <a:ext cx="820031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bg1"/>
                </a:solidFill>
                <a:latin typeface="Arial Nova" panose="020B0504020202020204" pitchFamily="34" charset="0"/>
              </a:rPr>
              <a:t>COMPUTE</a:t>
            </a:r>
          </a:p>
        </xdr:txBody>
      </xdr:sp>
      <xdr:pic>
        <xdr:nvPicPr>
          <xdr:cNvPr id="46" name="Graphic 45" descr="Cmd Terminal with solid fill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83670" y="2151688"/>
            <a:ext cx="163102" cy="1620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8</xdr:row>
      <xdr:rowOff>108277</xdr:rowOff>
    </xdr:from>
    <xdr:to>
      <xdr:col>2</xdr:col>
      <xdr:colOff>21613</xdr:colOff>
      <xdr:row>10</xdr:row>
      <xdr:rowOff>29836</xdr:rowOff>
    </xdr:to>
    <xdr:grpSp>
      <xdr:nvGrpSpPr>
        <xdr:cNvPr id="50" name="Group 4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255097" y="1612863"/>
          <a:ext cx="979892" cy="297705"/>
          <a:chOff x="271584" y="1567282"/>
          <a:chExt cx="976751" cy="302559"/>
        </a:xfrm>
      </xdr:grpSpPr>
      <xdr:sp macro="" textlink="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 txBox="1"/>
        </xdr:nvSpPr>
        <xdr:spPr>
          <a:xfrm>
            <a:off x="511547" y="1567282"/>
            <a:ext cx="736788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PLOTS</a:t>
            </a:r>
          </a:p>
        </xdr:txBody>
      </xdr:sp>
      <xdr:pic>
        <xdr:nvPicPr>
          <xdr:cNvPr id="52" name="Graphic 51" descr="Bar chart with solid fill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 flipH="1">
            <a:off x="271584" y="1641663"/>
            <a:ext cx="156881" cy="15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13</xdr:row>
      <xdr:rowOff>180275</xdr:rowOff>
    </xdr:from>
    <xdr:to>
      <xdr:col>2</xdr:col>
      <xdr:colOff>94050</xdr:colOff>
      <xdr:row>15</xdr:row>
      <xdr:rowOff>120884</xdr:rowOff>
    </xdr:to>
    <xdr:grpSp>
      <xdr:nvGrpSpPr>
        <xdr:cNvPr id="53" name="Group 5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pSpPr/>
      </xdr:nvGrpSpPr>
      <xdr:grpSpPr>
        <a:xfrm>
          <a:off x="255097" y="2619160"/>
          <a:ext cx="1052329" cy="316756"/>
          <a:chOff x="294397" y="2578332"/>
          <a:chExt cx="1146678" cy="302559"/>
        </a:xfrm>
      </xdr:grpSpPr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 txBox="1"/>
        </xdr:nvSpPr>
        <xdr:spPr>
          <a:xfrm>
            <a:off x="508746" y="2578332"/>
            <a:ext cx="932329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</a:rPr>
              <a:t>ANALYZE</a:t>
            </a:r>
          </a:p>
        </xdr:txBody>
      </xdr:sp>
      <xdr:pic>
        <xdr:nvPicPr>
          <xdr:cNvPr id="55" name="Graphic 54" descr="Supply And Demand with solid fill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94397" y="2651172"/>
            <a:ext cx="171827" cy="17182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338178</xdr:colOff>
      <xdr:row>4</xdr:row>
      <xdr:rowOff>40982</xdr:rowOff>
    </xdr:from>
    <xdr:to>
      <xdr:col>6</xdr:col>
      <xdr:colOff>504825</xdr:colOff>
      <xdr:row>5</xdr:row>
      <xdr:rowOff>128948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2166978" y="802982"/>
          <a:ext cx="1995447" cy="278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COMPUTATION</a:t>
          </a:r>
          <a:r>
            <a:rPr lang="en-US" sz="1100" b="1" baseline="0">
              <a:solidFill>
                <a:schemeClr val="bg1"/>
              </a:solidFill>
            </a:rPr>
            <a:t> CONSTRAINTS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338178</xdr:colOff>
      <xdr:row>13</xdr:row>
      <xdr:rowOff>164807</xdr:rowOff>
    </xdr:from>
    <xdr:to>
      <xdr:col>6</xdr:col>
      <xdr:colOff>504825</xdr:colOff>
      <xdr:row>15</xdr:row>
      <xdr:rowOff>62273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2166978" y="2641307"/>
          <a:ext cx="1995447" cy="278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COMPUTATION</a:t>
          </a:r>
          <a:r>
            <a:rPr lang="en-US" sz="1100" b="1" baseline="0">
              <a:solidFill>
                <a:schemeClr val="bg1"/>
              </a:solidFill>
            </a:rPr>
            <a:t> TOLERANCE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100053</xdr:colOff>
      <xdr:row>17</xdr:row>
      <xdr:rowOff>183857</xdr:rowOff>
    </xdr:from>
    <xdr:to>
      <xdr:col>12</xdr:col>
      <xdr:colOff>266700</xdr:colOff>
      <xdr:row>19</xdr:row>
      <xdr:rowOff>81323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776953" y="3422357"/>
          <a:ext cx="1995447" cy="278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FINAL</a:t>
          </a:r>
          <a:r>
            <a:rPr lang="en-US" sz="1100" b="1" baseline="0">
              <a:solidFill>
                <a:schemeClr val="bg1"/>
              </a:solidFill>
            </a:rPr>
            <a:t> RESULTS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80376</xdr:colOff>
      <xdr:row>17</xdr:row>
      <xdr:rowOff>170649</xdr:rowOff>
    </xdr:from>
    <xdr:to>
      <xdr:col>16</xdr:col>
      <xdr:colOff>511483</xdr:colOff>
      <xdr:row>19</xdr:row>
      <xdr:rowOff>68115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9347641" y="3409149"/>
          <a:ext cx="1036224" cy="278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CORRELATION</a:t>
          </a:r>
        </a:p>
      </xdr:txBody>
    </xdr:sp>
    <xdr:clientData/>
  </xdr:twoCellAnchor>
  <xdr:twoCellAnchor>
    <xdr:from>
      <xdr:col>3</xdr:col>
      <xdr:colOff>381283</xdr:colOff>
      <xdr:row>7</xdr:row>
      <xdr:rowOff>168299</xdr:rowOff>
    </xdr:from>
    <xdr:to>
      <xdr:col>5</xdr:col>
      <xdr:colOff>242902</xdr:colOff>
      <xdr:row>9</xdr:row>
      <xdr:rowOff>168299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2210083" y="1501799"/>
          <a:ext cx="108081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Gas-Oil Ratio</a:t>
          </a:r>
        </a:p>
      </xdr:txBody>
    </xdr:sp>
    <xdr:clientData/>
  </xdr:twoCellAnchor>
  <xdr:twoCellAnchor>
    <xdr:from>
      <xdr:col>3</xdr:col>
      <xdr:colOff>392207</xdr:colOff>
      <xdr:row>9</xdr:row>
      <xdr:rowOff>152181</xdr:rowOff>
    </xdr:from>
    <xdr:to>
      <xdr:col>5</xdr:col>
      <xdr:colOff>336177</xdr:colOff>
      <xdr:row>11</xdr:row>
      <xdr:rowOff>152181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2221007" y="1866681"/>
          <a:ext cx="116317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BS&amp;W</a:t>
          </a:r>
        </a:p>
      </xdr:txBody>
    </xdr:sp>
    <xdr:clientData/>
  </xdr:twoCellAnchor>
  <xdr:twoCellAnchor>
    <xdr:from>
      <xdr:col>3</xdr:col>
      <xdr:colOff>406095</xdr:colOff>
      <xdr:row>5</xdr:row>
      <xdr:rowOff>184416</xdr:rowOff>
    </xdr:from>
    <xdr:to>
      <xdr:col>5</xdr:col>
      <xdr:colOff>267714</xdr:colOff>
      <xdr:row>7</xdr:row>
      <xdr:rowOff>184416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2234895" y="1136916"/>
          <a:ext cx="108081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Production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6</xdr:row>
          <xdr:rowOff>95250</xdr:rowOff>
        </xdr:from>
        <xdr:to>
          <xdr:col>7</xdr:col>
          <xdr:colOff>485775</xdr:colOff>
          <xdr:row>7</xdr:row>
          <xdr:rowOff>85725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8</xdr:row>
          <xdr:rowOff>85725</xdr:rowOff>
        </xdr:from>
        <xdr:to>
          <xdr:col>7</xdr:col>
          <xdr:colOff>476250</xdr:colOff>
          <xdr:row>9</xdr:row>
          <xdr:rowOff>85725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10</xdr:row>
          <xdr:rowOff>66675</xdr:rowOff>
        </xdr:from>
        <xdr:to>
          <xdr:col>7</xdr:col>
          <xdr:colOff>247650</xdr:colOff>
          <xdr:row>11</xdr:row>
          <xdr:rowOff>38100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354069</xdr:colOff>
      <xdr:row>17</xdr:row>
      <xdr:rowOff>92097</xdr:rowOff>
    </xdr:from>
    <xdr:to>
      <xdr:col>5</xdr:col>
      <xdr:colOff>215688</xdr:colOff>
      <xdr:row>19</xdr:row>
      <xdr:rowOff>92097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2182869" y="3330597"/>
          <a:ext cx="108081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Gas-Oil Ratio</a:t>
          </a:r>
        </a:p>
      </xdr:txBody>
    </xdr:sp>
    <xdr:clientData/>
  </xdr:twoCellAnchor>
  <xdr:twoCellAnchor>
    <xdr:from>
      <xdr:col>3</xdr:col>
      <xdr:colOff>364993</xdr:colOff>
      <xdr:row>19</xdr:row>
      <xdr:rowOff>75979</xdr:rowOff>
    </xdr:from>
    <xdr:to>
      <xdr:col>5</xdr:col>
      <xdr:colOff>308963</xdr:colOff>
      <xdr:row>21</xdr:row>
      <xdr:rowOff>65093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2193793" y="3695479"/>
          <a:ext cx="116317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0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BS&amp;W</a:t>
          </a:r>
        </a:p>
      </xdr:txBody>
    </xdr:sp>
    <xdr:clientData/>
  </xdr:twoCellAnchor>
  <xdr:twoCellAnchor>
    <xdr:from>
      <xdr:col>3</xdr:col>
      <xdr:colOff>378881</xdr:colOff>
      <xdr:row>15</xdr:row>
      <xdr:rowOff>108214</xdr:rowOff>
    </xdr:from>
    <xdr:to>
      <xdr:col>5</xdr:col>
      <xdr:colOff>240500</xdr:colOff>
      <xdr:row>17</xdr:row>
      <xdr:rowOff>108214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2207681" y="2965714"/>
          <a:ext cx="108081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Production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19</xdr:row>
          <xdr:rowOff>180975</xdr:rowOff>
        </xdr:from>
        <xdr:to>
          <xdr:col>7</xdr:col>
          <xdr:colOff>219075</xdr:colOff>
          <xdr:row>20</xdr:row>
          <xdr:rowOff>190500</xdr:rowOff>
        </xdr:to>
        <xdr:sp macro="" textlink="">
          <xdr:nvSpPr>
            <xdr:cNvPr id="2065" name="Drop Dow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4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5</xdr:row>
          <xdr:rowOff>85725</xdr:rowOff>
        </xdr:from>
        <xdr:to>
          <xdr:col>18</xdr:col>
          <xdr:colOff>66675</xdr:colOff>
          <xdr:row>6</xdr:row>
          <xdr:rowOff>133350</xdr:rowOff>
        </xdr:to>
        <xdr:sp macro="" textlink="">
          <xdr:nvSpPr>
            <xdr:cNvPr id="2066" name="Drop Dow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4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542486</xdr:colOff>
      <xdr:row>3</xdr:row>
      <xdr:rowOff>114938</xdr:rowOff>
    </xdr:from>
    <xdr:to>
      <xdr:col>17</xdr:col>
      <xdr:colOff>392899</xdr:colOff>
      <xdr:row>5</xdr:row>
      <xdr:rowOff>114938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9809751" y="686438"/>
          <a:ext cx="107185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Data</a:t>
          </a:r>
          <a:r>
            <a:rPr lang="en-US" sz="1050" b="1" baseline="0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 to Fit</a:t>
          </a:r>
        </a:p>
      </xdr:txBody>
    </xdr:sp>
    <xdr:clientData/>
  </xdr:twoCellAnchor>
  <xdr:twoCellAnchor>
    <xdr:from>
      <xdr:col>28</xdr:col>
      <xdr:colOff>369915</xdr:colOff>
      <xdr:row>0</xdr:row>
      <xdr:rowOff>0</xdr:rowOff>
    </xdr:from>
    <xdr:to>
      <xdr:col>30</xdr:col>
      <xdr:colOff>231534</xdr:colOff>
      <xdr:row>0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17425268" y="0"/>
          <a:ext cx="1071854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Data</a:t>
          </a:r>
          <a:r>
            <a:rPr lang="en-US" sz="1050" b="1" baseline="0">
              <a:solidFill>
                <a:srgbClr val="312B57">
                  <a:alpha val="90000"/>
                </a:srgbClr>
              </a:solidFill>
              <a:latin typeface="Arial Nova" panose="020B0504020202020204" pitchFamily="34" charset="0"/>
            </a:rPr>
            <a:t> to Fit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7</xdr:row>
          <xdr:rowOff>180975</xdr:rowOff>
        </xdr:from>
        <xdr:to>
          <xdr:col>18</xdr:col>
          <xdr:colOff>85725</xdr:colOff>
          <xdr:row>9</xdr:row>
          <xdr:rowOff>47625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4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9</xdr:row>
          <xdr:rowOff>47625</xdr:rowOff>
        </xdr:from>
        <xdr:to>
          <xdr:col>18</xdr:col>
          <xdr:colOff>85725</xdr:colOff>
          <xdr:row>10</xdr:row>
          <xdr:rowOff>104775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4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Exponential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10</xdr:row>
          <xdr:rowOff>114300</xdr:rowOff>
        </xdr:from>
        <xdr:to>
          <xdr:col>18</xdr:col>
          <xdr:colOff>85725</xdr:colOff>
          <xdr:row>11</xdr:row>
          <xdr:rowOff>171450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Polynomial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11</xdr:row>
          <xdr:rowOff>171450</xdr:rowOff>
        </xdr:from>
        <xdr:to>
          <xdr:col>18</xdr:col>
          <xdr:colOff>85725</xdr:colOff>
          <xdr:row>13</xdr:row>
          <xdr:rowOff>47625</xdr:rowOff>
        </xdr:to>
        <xdr:sp macro="" textlink="">
          <xdr:nvSpPr>
            <xdr:cNvPr id="2071" name="Option 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4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Logarithm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561975</xdr:colOff>
          <xdr:row>7</xdr:row>
          <xdr:rowOff>123825</xdr:rowOff>
        </xdr:from>
        <xdr:to>
          <xdr:col>18</xdr:col>
          <xdr:colOff>466725</xdr:colOff>
          <xdr:row>14</xdr:row>
          <xdr:rowOff>19050</xdr:rowOff>
        </xdr:to>
        <xdr:sp macro="" textlink="">
          <xdr:nvSpPr>
            <xdr:cNvPr id="2075" name="Group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4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532279</xdr:colOff>
      <xdr:row>4</xdr:row>
      <xdr:rowOff>67235</xdr:rowOff>
    </xdr:from>
    <xdr:to>
      <xdr:col>15</xdr:col>
      <xdr:colOff>403411</xdr:colOff>
      <xdr:row>16</xdr:row>
      <xdr:rowOff>22412</xdr:rowOff>
    </xdr:to>
    <xdr:graphicFrame macro="">
      <xdr:nvGraphicFramePr>
        <xdr:cNvPr id="10" name="FitChart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276225</xdr:colOff>
          <xdr:row>10</xdr:row>
          <xdr:rowOff>123825</xdr:rowOff>
        </xdr:from>
        <xdr:to>
          <xdr:col>17</xdr:col>
          <xdr:colOff>438150</xdr:colOff>
          <xdr:row>11</xdr:row>
          <xdr:rowOff>123825</xdr:rowOff>
        </xdr:to>
        <xdr:sp macro="" textlink="">
          <xdr:nvSpPr>
            <xdr:cNvPr id="2076" name="Spinne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161925</xdr:colOff>
      <xdr:row>6</xdr:row>
      <xdr:rowOff>76200</xdr:rowOff>
    </xdr:from>
    <xdr:to>
      <xdr:col>6</xdr:col>
      <xdr:colOff>190500</xdr:colOff>
      <xdr:row>7</xdr:row>
      <xdr:rowOff>104775</xdr:rowOff>
    </xdr:to>
    <xdr:sp macro="" textlink="">
      <xdr:nvSpPr>
        <xdr:cNvPr id="2" name="production_cons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209925" y="1219200"/>
          <a:ext cx="63817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/>
            <a:t>18000</a:t>
          </a:r>
        </a:p>
      </xdr:txBody>
    </xdr:sp>
    <xdr:clientData/>
  </xdr:twoCellAnchor>
  <xdr:twoCellAnchor>
    <xdr:from>
      <xdr:col>5</xdr:col>
      <xdr:colOff>171450</xdr:colOff>
      <xdr:row>8</xdr:row>
      <xdr:rowOff>76200</xdr:rowOff>
    </xdr:from>
    <xdr:to>
      <xdr:col>6</xdr:col>
      <xdr:colOff>200025</xdr:colOff>
      <xdr:row>9</xdr:row>
      <xdr:rowOff>104775</xdr:rowOff>
    </xdr:to>
    <xdr:sp macro="" textlink="">
      <xdr:nvSpPr>
        <xdr:cNvPr id="68" name="gor_constt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3219450" y="1600200"/>
          <a:ext cx="63817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/>
            <a:t>300</a:t>
          </a:r>
        </a:p>
      </xdr:txBody>
    </xdr:sp>
    <xdr:clientData/>
  </xdr:twoCellAnchor>
  <xdr:twoCellAnchor>
    <xdr:from>
      <xdr:col>5</xdr:col>
      <xdr:colOff>171450</xdr:colOff>
      <xdr:row>10</xdr:row>
      <xdr:rowOff>38100</xdr:rowOff>
    </xdr:from>
    <xdr:to>
      <xdr:col>6</xdr:col>
      <xdr:colOff>200025</xdr:colOff>
      <xdr:row>11</xdr:row>
      <xdr:rowOff>66675</xdr:rowOff>
    </xdr:to>
    <xdr:sp macro="" textlink="">
      <xdr:nvSpPr>
        <xdr:cNvPr id="6" name="bsw_constt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3219450" y="1943100"/>
          <a:ext cx="63817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/>
            <a:t>15</a:t>
          </a:r>
        </a:p>
      </xdr:txBody>
    </xdr:sp>
    <xdr:clientData/>
  </xdr:twoCellAnchor>
  <xdr:twoCellAnchor>
    <xdr:from>
      <xdr:col>5</xdr:col>
      <xdr:colOff>142875</xdr:colOff>
      <xdr:row>16</xdr:row>
      <xdr:rowOff>19050</xdr:rowOff>
    </xdr:from>
    <xdr:to>
      <xdr:col>6</xdr:col>
      <xdr:colOff>171450</xdr:colOff>
      <xdr:row>17</xdr:row>
      <xdr:rowOff>47625</xdr:rowOff>
    </xdr:to>
    <xdr:sp macro="" textlink="">
      <xdr:nvSpPr>
        <xdr:cNvPr id="70" name="production_toll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3190875" y="3057525"/>
          <a:ext cx="63817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/>
            <a:t>2000</a:t>
          </a:r>
        </a:p>
      </xdr:txBody>
    </xdr:sp>
    <xdr:clientData/>
  </xdr:twoCellAnchor>
  <xdr:twoCellAnchor>
    <xdr:from>
      <xdr:col>5</xdr:col>
      <xdr:colOff>152400</xdr:colOff>
      <xdr:row>18</xdr:row>
      <xdr:rowOff>19050</xdr:rowOff>
    </xdr:from>
    <xdr:to>
      <xdr:col>6</xdr:col>
      <xdr:colOff>180975</xdr:colOff>
      <xdr:row>19</xdr:row>
      <xdr:rowOff>47625</xdr:rowOff>
    </xdr:to>
    <xdr:sp macro="" textlink="">
      <xdr:nvSpPr>
        <xdr:cNvPr id="73" name="gor_toll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3200400" y="3438525"/>
          <a:ext cx="63817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/>
            <a:t>40</a:t>
          </a:r>
        </a:p>
      </xdr:txBody>
    </xdr:sp>
    <xdr:clientData/>
  </xdr:twoCellAnchor>
  <xdr:twoCellAnchor>
    <xdr:from>
      <xdr:col>5</xdr:col>
      <xdr:colOff>152400</xdr:colOff>
      <xdr:row>19</xdr:row>
      <xdr:rowOff>171450</xdr:rowOff>
    </xdr:from>
    <xdr:to>
      <xdr:col>6</xdr:col>
      <xdr:colOff>180975</xdr:colOff>
      <xdr:row>21</xdr:row>
      <xdr:rowOff>0</xdr:rowOff>
    </xdr:to>
    <xdr:sp macro="" textlink="">
      <xdr:nvSpPr>
        <xdr:cNvPr id="74" name="bsw_toll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3200400" y="3781425"/>
          <a:ext cx="63817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/>
            <a:t>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16</xdr:row>
          <xdr:rowOff>47625</xdr:rowOff>
        </xdr:from>
        <xdr:to>
          <xdr:col>7</xdr:col>
          <xdr:colOff>447675</xdr:colOff>
          <xdr:row>17</xdr:row>
          <xdr:rowOff>38100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4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18</xdr:row>
          <xdr:rowOff>38100</xdr:rowOff>
        </xdr:from>
        <xdr:to>
          <xdr:col>7</xdr:col>
          <xdr:colOff>438150</xdr:colOff>
          <xdr:row>19</xdr:row>
          <xdr:rowOff>38100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4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12845</xdr:colOff>
      <xdr:row>0</xdr:row>
      <xdr:rowOff>0</xdr:rowOff>
    </xdr:from>
    <xdr:to>
      <xdr:col>19</xdr:col>
      <xdr:colOff>0</xdr:colOff>
      <xdr:row>27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845" y="0"/>
          <a:ext cx="11569555" cy="5400675"/>
        </a:xfrm>
        <a:prstGeom prst="rect">
          <a:avLst/>
        </a:prstGeom>
        <a:noFill/>
        <a:ln w="412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0</xdr:row>
      <xdr:rowOff>19050</xdr:rowOff>
    </xdr:from>
    <xdr:to>
      <xdr:col>2</xdr:col>
      <xdr:colOff>219075</xdr:colOff>
      <xdr:row>28</xdr:row>
      <xdr:rowOff>5443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" y="19050"/>
          <a:ext cx="1438274" cy="539659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25400" dist="38100" algn="l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371475</xdr:colOff>
      <xdr:row>4</xdr:row>
      <xdr:rowOff>109258</xdr:rowOff>
    </xdr:from>
    <xdr:to>
      <xdr:col>17</xdr:col>
      <xdr:colOff>9524</xdr:colOff>
      <xdr:row>15</xdr:row>
      <xdr:rowOff>47625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467475" y="871258"/>
          <a:ext cx="3905249" cy="2091017"/>
        </a:xfrm>
        <a:prstGeom prst="rect">
          <a:avLst/>
        </a:prstGeom>
        <a:solidFill>
          <a:srgbClr val="FBF9FD"/>
        </a:solidFill>
        <a:ln w="34925">
          <a:solidFill>
            <a:srgbClr val="3C1A56"/>
          </a:solidFill>
        </a:ln>
        <a:effectLst>
          <a:outerShdw blurRad="152400" algn="ctr" rotWithShape="0">
            <a:prstClr val="black">
              <a:alpha val="1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123265</xdr:colOff>
      <xdr:row>3</xdr:row>
      <xdr:rowOff>56030</xdr:rowOff>
    </xdr:from>
    <xdr:to>
      <xdr:col>18</xdr:col>
      <xdr:colOff>212911</xdr:colOff>
      <xdr:row>3</xdr:row>
      <xdr:rowOff>56030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1952065" y="627530"/>
          <a:ext cx="9233646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437031</xdr:colOff>
      <xdr:row>1</xdr:row>
      <xdr:rowOff>145678</xdr:rowOff>
    </xdr:from>
    <xdr:to>
      <xdr:col>1</xdr:col>
      <xdr:colOff>341767</xdr:colOff>
      <xdr:row>4</xdr:row>
      <xdr:rowOff>78442</xdr:rowOff>
    </xdr:to>
    <xdr:pic>
      <xdr:nvPicPr>
        <xdr:cNvPr id="17" name="Graphic 16" descr="Venn diagram with solid fill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7031" y="336178"/>
          <a:ext cx="514336" cy="504264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13</xdr:row>
      <xdr:rowOff>145118</xdr:rowOff>
    </xdr:from>
    <xdr:to>
      <xdr:col>2</xdr:col>
      <xdr:colOff>104776</xdr:colOff>
      <xdr:row>15</xdr:row>
      <xdr:rowOff>126067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76200" y="2621618"/>
          <a:ext cx="1247776" cy="361949"/>
        </a:xfrm>
        <a:prstGeom prst="rect">
          <a:avLst/>
        </a:prstGeom>
        <a:solidFill>
          <a:srgbClr val="9B3AB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255097</xdr:colOff>
      <xdr:row>5</xdr:row>
      <xdr:rowOff>171450</xdr:rowOff>
    </xdr:from>
    <xdr:to>
      <xdr:col>1</xdr:col>
      <xdr:colOff>564697</xdr:colOff>
      <xdr:row>7</xdr:row>
      <xdr:rowOff>93009</xdr:rowOff>
    </xdr:to>
    <xdr:grpSp>
      <xdr:nvGrpSpPr>
        <xdr:cNvPr id="19" name="Group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pSpPr/>
      </xdr:nvGrpSpPr>
      <xdr:grpSpPr>
        <a:xfrm>
          <a:off x="255097" y="1123950"/>
          <a:ext cx="921509" cy="302559"/>
          <a:chOff x="261900" y="1095375"/>
          <a:chExt cx="914718" cy="302559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508185" y="1095375"/>
            <a:ext cx="668433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DATA</a:t>
            </a:r>
          </a:p>
        </xdr:txBody>
      </xdr:sp>
      <xdr:pic>
        <xdr:nvPicPr>
          <xdr:cNvPr id="21" name="Graphic 20" descr="Server with solid fill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1900" y="1165414"/>
            <a:ext cx="173529" cy="1735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11</xdr:row>
      <xdr:rowOff>45104</xdr:rowOff>
    </xdr:from>
    <xdr:to>
      <xdr:col>2</xdr:col>
      <xdr:colOff>76202</xdr:colOff>
      <xdr:row>12</xdr:row>
      <xdr:rowOff>165007</xdr:rowOff>
    </xdr:to>
    <xdr:grpSp>
      <xdr:nvGrpSpPr>
        <xdr:cNvPr id="22" name="Group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255097" y="2152149"/>
          <a:ext cx="1044923" cy="310403"/>
          <a:chOff x="283670" y="2084013"/>
          <a:chExt cx="1032220" cy="302559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>
            <a:off x="495859" y="2084013"/>
            <a:ext cx="820031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COMPUTE</a:t>
            </a:r>
          </a:p>
        </xdr:txBody>
      </xdr:sp>
      <xdr:pic>
        <xdr:nvPicPr>
          <xdr:cNvPr id="24" name="Graphic 23" descr="Cmd Terminal with solid fill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83670" y="2151688"/>
            <a:ext cx="163102" cy="1620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8</xdr:row>
      <xdr:rowOff>108277</xdr:rowOff>
    </xdr:from>
    <xdr:to>
      <xdr:col>2</xdr:col>
      <xdr:colOff>21613</xdr:colOff>
      <xdr:row>10</xdr:row>
      <xdr:rowOff>29836</xdr:rowOff>
    </xdr:to>
    <xdr:grpSp>
      <xdr:nvGrpSpPr>
        <xdr:cNvPr id="28" name="Group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/>
      </xdr:nvGrpSpPr>
      <xdr:grpSpPr>
        <a:xfrm>
          <a:off x="255097" y="1632277"/>
          <a:ext cx="990334" cy="314104"/>
          <a:chOff x="271584" y="1567282"/>
          <a:chExt cx="976751" cy="30255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 txBox="1"/>
        </xdr:nvSpPr>
        <xdr:spPr>
          <a:xfrm>
            <a:off x="511547" y="1567282"/>
            <a:ext cx="736788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PLOTS</a:t>
            </a:r>
          </a:p>
        </xdr:txBody>
      </xdr:sp>
      <xdr:pic>
        <xdr:nvPicPr>
          <xdr:cNvPr id="30" name="Graphic 29" descr="Bar chart with solid fill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 flipH="1">
            <a:off x="271584" y="1641663"/>
            <a:ext cx="156881" cy="15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13</xdr:row>
      <xdr:rowOff>180275</xdr:rowOff>
    </xdr:from>
    <xdr:to>
      <xdr:col>2</xdr:col>
      <xdr:colOff>94050</xdr:colOff>
      <xdr:row>15</xdr:row>
      <xdr:rowOff>120884</xdr:rowOff>
    </xdr:to>
    <xdr:grpSp>
      <xdr:nvGrpSpPr>
        <xdr:cNvPr id="31" name="Group 3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pSpPr/>
      </xdr:nvGrpSpPr>
      <xdr:grpSpPr>
        <a:xfrm>
          <a:off x="255097" y="2668320"/>
          <a:ext cx="1062771" cy="333155"/>
          <a:chOff x="294397" y="2578332"/>
          <a:chExt cx="1146678" cy="302559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 txBox="1"/>
        </xdr:nvSpPr>
        <xdr:spPr>
          <a:xfrm>
            <a:off x="508746" y="2578332"/>
            <a:ext cx="932329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bg1"/>
                </a:solidFill>
                <a:latin typeface="Arial Nova" panose="020B0504020202020204" pitchFamily="34" charset="0"/>
              </a:rPr>
              <a:t>ANALYZE</a:t>
            </a:r>
          </a:p>
        </xdr:txBody>
      </xdr:sp>
      <xdr:pic>
        <xdr:nvPicPr>
          <xdr:cNvPr id="33" name="Graphic 32" descr="Supply And Demand with solid fill">
            <a:extLst>
              <a:ext uri="{FF2B5EF4-FFF2-40B4-BE49-F238E27FC236}">
                <a16:creationId xmlns:a16="http://schemas.microsoft.com/office/drawing/2014/main" id="{00000000-0008-0000-05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94397" y="2651172"/>
            <a:ext cx="171827" cy="171827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381001</xdr:colOff>
      <xdr:row>16</xdr:row>
      <xdr:rowOff>109258</xdr:rowOff>
    </xdr:from>
    <xdr:to>
      <xdr:col>17</xdr:col>
      <xdr:colOff>9525</xdr:colOff>
      <xdr:row>27</xdr:row>
      <xdr:rowOff>47625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>
        <a:xfrm>
          <a:off x="6477001" y="3214408"/>
          <a:ext cx="3895724" cy="2052917"/>
        </a:xfrm>
        <a:prstGeom prst="rect">
          <a:avLst/>
        </a:prstGeom>
        <a:solidFill>
          <a:srgbClr val="FBF9FD"/>
        </a:solidFill>
        <a:ln w="34925">
          <a:solidFill>
            <a:srgbClr val="3C1A56"/>
          </a:solidFill>
        </a:ln>
        <a:effectLst>
          <a:outerShdw blurRad="152400" algn="ctr" rotWithShape="0">
            <a:prstClr val="black">
              <a:alpha val="13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457200</xdr:colOff>
      <xdr:row>17</xdr:row>
      <xdr:rowOff>1</xdr:rowOff>
    </xdr:from>
    <xdr:to>
      <xdr:col>9</xdr:col>
      <xdr:colOff>285750</xdr:colOff>
      <xdr:row>26</xdr:row>
      <xdr:rowOff>91574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>
        <a:xfrm>
          <a:off x="1676400" y="3257551"/>
          <a:ext cx="4095750" cy="1858254"/>
        </a:xfrm>
        <a:prstGeom prst="rect">
          <a:avLst/>
        </a:prstGeom>
        <a:noFill/>
        <a:ln w="41275">
          <a:solidFill>
            <a:srgbClr val="FBF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71717</xdr:colOff>
      <xdr:row>16</xdr:row>
      <xdr:rowOff>38100</xdr:rowOff>
    </xdr:from>
    <xdr:to>
      <xdr:col>9</xdr:col>
      <xdr:colOff>88690</xdr:colOff>
      <xdr:row>18</xdr:row>
      <xdr:rowOff>47625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>
        <a:xfrm>
          <a:off x="1900517" y="3105150"/>
          <a:ext cx="3674573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226119</xdr:colOff>
      <xdr:row>16</xdr:row>
      <xdr:rowOff>86606</xdr:rowOff>
    </xdr:from>
    <xdr:to>
      <xdr:col>7</xdr:col>
      <xdr:colOff>75472</xdr:colOff>
      <xdr:row>17</xdr:row>
      <xdr:rowOff>174572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054919" y="3153656"/>
          <a:ext cx="2287753" cy="278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SENSITIVITY ANALYSIS</a:t>
          </a:r>
        </a:p>
      </xdr:txBody>
    </xdr:sp>
    <xdr:clientData/>
  </xdr:twoCellAnchor>
  <xdr:twoCellAnchor editAs="absolute">
    <xdr:from>
      <xdr:col>2</xdr:col>
      <xdr:colOff>409575</xdr:colOff>
      <xdr:row>4</xdr:row>
      <xdr:rowOff>142875</xdr:rowOff>
    </xdr:from>
    <xdr:to>
      <xdr:col>9</xdr:col>
      <xdr:colOff>238125</xdr:colOff>
      <xdr:row>14</xdr:row>
      <xdr:rowOff>152400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>
        <a:xfrm>
          <a:off x="1628775" y="904875"/>
          <a:ext cx="4095750" cy="1933575"/>
        </a:xfrm>
        <a:prstGeom prst="rect">
          <a:avLst/>
        </a:prstGeom>
        <a:noFill/>
        <a:ln w="41275">
          <a:solidFill>
            <a:srgbClr val="FBF9F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24092</xdr:colOff>
      <xdr:row>3</xdr:row>
      <xdr:rowOff>171450</xdr:rowOff>
    </xdr:from>
    <xdr:to>
      <xdr:col>9</xdr:col>
      <xdr:colOff>41065</xdr:colOff>
      <xdr:row>5</xdr:row>
      <xdr:rowOff>180975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852892" y="742950"/>
          <a:ext cx="3674573" cy="390525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178494</xdr:colOff>
      <xdr:row>4</xdr:row>
      <xdr:rowOff>29456</xdr:rowOff>
    </xdr:from>
    <xdr:to>
      <xdr:col>7</xdr:col>
      <xdr:colOff>27847</xdr:colOff>
      <xdr:row>5</xdr:row>
      <xdr:rowOff>117422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2007294" y="791456"/>
          <a:ext cx="2287753" cy="278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/>
              </a:solidFill>
            </a:rPr>
            <a:t>SENSITIVITY</a:t>
          </a:r>
          <a:r>
            <a:rPr lang="en-US" sz="1100" b="1" baseline="0">
              <a:solidFill>
                <a:schemeClr val="bg1"/>
              </a:solidFill>
            </a:rPr>
            <a:t> ANALYSIS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428625</xdr:colOff>
      <xdr:row>4</xdr:row>
      <xdr:rowOff>161926</xdr:rowOff>
    </xdr:from>
    <xdr:to>
      <xdr:col>16</xdr:col>
      <xdr:colOff>542925</xdr:colOff>
      <xdr:row>14</xdr:row>
      <xdr:rowOff>180976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442912</xdr:colOff>
      <xdr:row>16</xdr:row>
      <xdr:rowOff>161925</xdr:rowOff>
    </xdr:from>
    <xdr:to>
      <xdr:col>16</xdr:col>
      <xdr:colOff>552450</xdr:colOff>
      <xdr:row>26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438978</xdr:colOff>
      <xdr:row>16</xdr:row>
      <xdr:rowOff>165652</xdr:rowOff>
    </xdr:from>
    <xdr:to>
      <xdr:col>16</xdr:col>
      <xdr:colOff>563216</xdr:colOff>
      <xdr:row>26</xdr:row>
      <xdr:rowOff>173936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12845</xdr:colOff>
      <xdr:row>0</xdr:row>
      <xdr:rowOff>175845</xdr:rowOff>
    </xdr:from>
    <xdr:to>
      <xdr:col>19</xdr:col>
      <xdr:colOff>0</xdr:colOff>
      <xdr:row>27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845" y="175845"/>
          <a:ext cx="11569555" cy="5148629"/>
        </a:xfrm>
        <a:prstGeom prst="rect">
          <a:avLst/>
        </a:prstGeom>
        <a:noFill/>
        <a:ln w="412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</xdr:colOff>
      <xdr:row>0</xdr:row>
      <xdr:rowOff>185057</xdr:rowOff>
    </xdr:from>
    <xdr:to>
      <xdr:col>2</xdr:col>
      <xdr:colOff>219075</xdr:colOff>
      <xdr:row>28</xdr:row>
      <xdr:rowOff>5443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" y="185057"/>
          <a:ext cx="1438274" cy="5154386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25400" dist="38100" algn="l" rotWithShape="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142313</xdr:colOff>
      <xdr:row>6</xdr:row>
      <xdr:rowOff>109258</xdr:rowOff>
    </xdr:from>
    <xdr:to>
      <xdr:col>15</xdr:col>
      <xdr:colOff>0</xdr:colOff>
      <xdr:row>25</xdr:row>
      <xdr:rowOff>145676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580713" y="1252258"/>
          <a:ext cx="6563287" cy="3655918"/>
        </a:xfrm>
        <a:prstGeom prst="rect">
          <a:avLst/>
        </a:prstGeom>
        <a:solidFill>
          <a:srgbClr val="FBF9FD"/>
        </a:solidFill>
        <a:ln w="222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123265</xdr:colOff>
      <xdr:row>3</xdr:row>
      <xdr:rowOff>56030</xdr:rowOff>
    </xdr:from>
    <xdr:to>
      <xdr:col>18</xdr:col>
      <xdr:colOff>212911</xdr:colOff>
      <xdr:row>3</xdr:row>
      <xdr:rowOff>56030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1952065" y="627530"/>
          <a:ext cx="9233646" cy="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437031</xdr:colOff>
      <xdr:row>1</xdr:row>
      <xdr:rowOff>145678</xdr:rowOff>
    </xdr:from>
    <xdr:to>
      <xdr:col>1</xdr:col>
      <xdr:colOff>341767</xdr:colOff>
      <xdr:row>4</xdr:row>
      <xdr:rowOff>78442</xdr:rowOff>
    </xdr:to>
    <xdr:pic>
      <xdr:nvPicPr>
        <xdr:cNvPr id="17" name="Graphic 16" descr="Venn diagram with solid fill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7031" y="336178"/>
          <a:ext cx="514336" cy="504264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16</xdr:row>
      <xdr:rowOff>97493</xdr:rowOff>
    </xdr:from>
    <xdr:to>
      <xdr:col>2</xdr:col>
      <xdr:colOff>104776</xdr:colOff>
      <xdr:row>18</xdr:row>
      <xdr:rowOff>78442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76200" y="3145493"/>
          <a:ext cx="1247776" cy="361949"/>
        </a:xfrm>
        <a:prstGeom prst="rect">
          <a:avLst/>
        </a:prstGeom>
        <a:solidFill>
          <a:srgbClr val="9B3AB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255097</xdr:colOff>
      <xdr:row>5</xdr:row>
      <xdr:rowOff>171450</xdr:rowOff>
    </xdr:from>
    <xdr:to>
      <xdr:col>1</xdr:col>
      <xdr:colOff>564697</xdr:colOff>
      <xdr:row>7</xdr:row>
      <xdr:rowOff>93009</xdr:rowOff>
    </xdr:to>
    <xdr:grpSp>
      <xdr:nvGrpSpPr>
        <xdr:cNvPr id="19" name="Group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255097" y="1123950"/>
          <a:ext cx="919200" cy="302559"/>
          <a:chOff x="261900" y="1095375"/>
          <a:chExt cx="914718" cy="302559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508185" y="1095375"/>
            <a:ext cx="668433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DATA</a:t>
            </a:r>
          </a:p>
        </xdr:txBody>
      </xdr:sp>
      <xdr:pic>
        <xdr:nvPicPr>
          <xdr:cNvPr id="21" name="Graphic 20" descr="Server with solid fill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61900" y="1165414"/>
            <a:ext cx="173529" cy="1735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11</xdr:row>
      <xdr:rowOff>45104</xdr:rowOff>
    </xdr:from>
    <xdr:to>
      <xdr:col>2</xdr:col>
      <xdr:colOff>76202</xdr:colOff>
      <xdr:row>12</xdr:row>
      <xdr:rowOff>165007</xdr:rowOff>
    </xdr:to>
    <xdr:grpSp>
      <xdr:nvGrpSpPr>
        <xdr:cNvPr id="22" name="Group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255097" y="2140604"/>
          <a:ext cx="1040305" cy="310403"/>
          <a:chOff x="283670" y="2084013"/>
          <a:chExt cx="1032220" cy="302559"/>
        </a:xfrm>
      </xdr:grpSpPr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495859" y="2084013"/>
            <a:ext cx="820031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COMPUTE</a:t>
            </a:r>
          </a:p>
        </xdr:txBody>
      </xdr:sp>
      <xdr:pic>
        <xdr:nvPicPr>
          <xdr:cNvPr id="24" name="Graphic 23" descr="Cmd Terminal with solid fill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83670" y="2151688"/>
            <a:ext cx="163102" cy="16200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16</xdr:row>
      <xdr:rowOff>136152</xdr:rowOff>
    </xdr:from>
    <xdr:to>
      <xdr:col>1</xdr:col>
      <xdr:colOff>606106</xdr:colOff>
      <xdr:row>18</xdr:row>
      <xdr:rowOff>67236</xdr:rowOff>
    </xdr:to>
    <xdr:grpSp>
      <xdr:nvGrpSpPr>
        <xdr:cNvPr id="25" name="Group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pSpPr/>
      </xdr:nvGrpSpPr>
      <xdr:grpSpPr>
        <a:xfrm>
          <a:off x="255097" y="3184152"/>
          <a:ext cx="960609" cy="312084"/>
          <a:chOff x="325266" y="3110215"/>
          <a:chExt cx="1101802" cy="302559"/>
        </a:xfrm>
      </xdr:grpSpPr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 txBox="1"/>
        </xdr:nvSpPr>
        <xdr:spPr>
          <a:xfrm>
            <a:off x="494738" y="3110215"/>
            <a:ext cx="932330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bg1"/>
                </a:solidFill>
                <a:latin typeface="Arial Nova" panose="020B0504020202020204" pitchFamily="34" charset="0"/>
              </a:rPr>
              <a:t>OPTIONS</a:t>
            </a:r>
          </a:p>
        </xdr:txBody>
      </xdr:sp>
      <xdr:pic>
        <xdr:nvPicPr>
          <xdr:cNvPr id="27" name="Graphic 26" descr="Toggle with solid fill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325266" y="3171267"/>
            <a:ext cx="155997" cy="15599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8</xdr:row>
      <xdr:rowOff>108277</xdr:rowOff>
    </xdr:from>
    <xdr:to>
      <xdr:col>2</xdr:col>
      <xdr:colOff>21613</xdr:colOff>
      <xdr:row>10</xdr:row>
      <xdr:rowOff>29836</xdr:rowOff>
    </xdr:to>
    <xdr:grpSp>
      <xdr:nvGrpSpPr>
        <xdr:cNvPr id="28" name="Group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GrpSpPr/>
      </xdr:nvGrpSpPr>
      <xdr:grpSpPr>
        <a:xfrm>
          <a:off x="255097" y="1632277"/>
          <a:ext cx="985716" cy="302559"/>
          <a:chOff x="271584" y="1567282"/>
          <a:chExt cx="976751" cy="302559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 txBox="1"/>
        </xdr:nvSpPr>
        <xdr:spPr>
          <a:xfrm>
            <a:off x="511547" y="1567282"/>
            <a:ext cx="736788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/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PLOTS</a:t>
            </a:r>
          </a:p>
        </xdr:txBody>
      </xdr:sp>
      <xdr:pic>
        <xdr:nvPicPr>
          <xdr:cNvPr id="30" name="Graphic 29" descr="Bar chart with solid fill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 flipH="1">
            <a:off x="271584" y="1641663"/>
            <a:ext cx="156881" cy="15688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255097</xdr:colOff>
      <xdr:row>13</xdr:row>
      <xdr:rowOff>180275</xdr:rowOff>
    </xdr:from>
    <xdr:to>
      <xdr:col>2</xdr:col>
      <xdr:colOff>94050</xdr:colOff>
      <xdr:row>15</xdr:row>
      <xdr:rowOff>120884</xdr:rowOff>
    </xdr:to>
    <xdr:grpSp>
      <xdr:nvGrpSpPr>
        <xdr:cNvPr id="31" name="Group 3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255097" y="2656775"/>
          <a:ext cx="1058153" cy="321609"/>
          <a:chOff x="294397" y="2578332"/>
          <a:chExt cx="1146678" cy="302559"/>
        </a:xfrm>
      </xdr:grpSpPr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 txBox="1"/>
        </xdr:nvSpPr>
        <xdr:spPr>
          <a:xfrm>
            <a:off x="508746" y="2578332"/>
            <a:ext cx="932329" cy="3025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800" b="1">
                <a:solidFill>
                  <a:schemeClr val="tx1">
                    <a:lumMod val="75000"/>
                    <a:lumOff val="2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rPr>
              <a:t>ANALYZE</a:t>
            </a:r>
          </a:p>
        </xdr:txBody>
      </xdr:sp>
      <xdr:pic>
        <xdr:nvPicPr>
          <xdr:cNvPr id="33" name="Graphic 32" descr="Supply And Demand with solid fill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294397" y="2651172"/>
            <a:ext cx="171827" cy="17182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53231-34CE-4AC2-8C9B-53E5E3D237AD}">
  <sheetPr codeName="Sheet5"/>
  <dimension ref="A1:F21"/>
  <sheetViews>
    <sheetView workbookViewId="0">
      <selection sqref="A1:Z1048576"/>
    </sheetView>
  </sheetViews>
  <sheetFormatPr defaultRowHeight="15" x14ac:dyDescent="0.25"/>
  <sheetData>
    <row r="1" spans="1:6" x14ac:dyDescent="0.25">
      <c r="A1" s="31" t="s">
        <v>18</v>
      </c>
      <c r="B1" s="31" t="s">
        <v>0</v>
      </c>
      <c r="C1" s="31" t="s">
        <v>19</v>
      </c>
      <c r="D1" s="31" t="s">
        <v>17</v>
      </c>
      <c r="E1" s="31" t="s">
        <v>2</v>
      </c>
      <c r="F1" s="31" t="s">
        <v>3</v>
      </c>
    </row>
    <row r="2" spans="1:6" x14ac:dyDescent="0.25">
      <c r="A2">
        <v>1</v>
      </c>
      <c r="B2">
        <v>60</v>
      </c>
      <c r="C2">
        <v>655</v>
      </c>
      <c r="D2">
        <v>28</v>
      </c>
      <c r="E2">
        <v>372</v>
      </c>
      <c r="F2" s="32">
        <v>17700</v>
      </c>
    </row>
    <row r="3" spans="1:6" x14ac:dyDescent="0.25">
      <c r="A3">
        <v>2</v>
      </c>
      <c r="B3">
        <v>66</v>
      </c>
      <c r="C3">
        <v>842</v>
      </c>
      <c r="D3">
        <v>48</v>
      </c>
      <c r="E3">
        <v>561</v>
      </c>
      <c r="F3" s="32">
        <v>32365</v>
      </c>
    </row>
    <row r="4" spans="1:6" x14ac:dyDescent="0.25">
      <c r="A4">
        <v>3</v>
      </c>
      <c r="B4">
        <v>64</v>
      </c>
      <c r="C4">
        <v>832</v>
      </c>
      <c r="D4">
        <v>42</v>
      </c>
      <c r="E4">
        <v>470</v>
      </c>
      <c r="F4" s="32">
        <v>30240</v>
      </c>
    </row>
    <row r="5" spans="1:6" x14ac:dyDescent="0.25">
      <c r="A5">
        <v>4</v>
      </c>
      <c r="B5">
        <v>50</v>
      </c>
      <c r="C5">
        <v>530</v>
      </c>
      <c r="D5">
        <v>20</v>
      </c>
      <c r="E5">
        <v>122</v>
      </c>
      <c r="F5">
        <v>4920</v>
      </c>
    </row>
    <row r="6" spans="1:6" x14ac:dyDescent="0.25">
      <c r="A6">
        <v>5</v>
      </c>
      <c r="B6">
        <v>44.2</v>
      </c>
      <c r="C6">
        <v>455</v>
      </c>
      <c r="D6">
        <v>12</v>
      </c>
      <c r="E6">
        <v>73</v>
      </c>
      <c r="F6">
        <v>3120</v>
      </c>
    </row>
    <row r="7" spans="1:6" x14ac:dyDescent="0.25">
      <c r="A7">
        <v>6</v>
      </c>
      <c r="B7">
        <v>61.44</v>
      </c>
      <c r="C7">
        <v>784</v>
      </c>
      <c r="D7">
        <v>38</v>
      </c>
      <c r="E7">
        <v>456</v>
      </c>
      <c r="F7" s="32">
        <v>25878</v>
      </c>
    </row>
    <row r="8" spans="1:6" x14ac:dyDescent="0.25">
      <c r="A8">
        <v>7</v>
      </c>
      <c r="B8">
        <v>56.32</v>
      </c>
      <c r="C8">
        <v>626</v>
      </c>
      <c r="D8">
        <v>28</v>
      </c>
      <c r="E8">
        <v>299</v>
      </c>
      <c r="F8" s="32">
        <v>14500</v>
      </c>
    </row>
    <row r="9" spans="1:6" x14ac:dyDescent="0.25">
      <c r="A9">
        <v>8</v>
      </c>
      <c r="B9">
        <v>51.2</v>
      </c>
      <c r="C9">
        <v>556</v>
      </c>
      <c r="D9">
        <v>20</v>
      </c>
      <c r="E9">
        <v>220</v>
      </c>
      <c r="F9">
        <v>8000</v>
      </c>
    </row>
    <row r="10" spans="1:6" x14ac:dyDescent="0.25">
      <c r="A10">
        <v>9</v>
      </c>
      <c r="B10">
        <v>58.88</v>
      </c>
      <c r="C10">
        <v>650</v>
      </c>
      <c r="D10">
        <v>28</v>
      </c>
      <c r="E10">
        <v>362</v>
      </c>
      <c r="F10" s="32">
        <v>17100</v>
      </c>
    </row>
    <row r="11" spans="1:6" x14ac:dyDescent="0.25">
      <c r="A11">
        <v>10</v>
      </c>
      <c r="B11">
        <v>54</v>
      </c>
      <c r="C11">
        <v>602</v>
      </c>
      <c r="D11">
        <v>20</v>
      </c>
      <c r="E11">
        <v>269</v>
      </c>
      <c r="F11" s="32">
        <v>13740</v>
      </c>
    </row>
    <row r="12" spans="1:6" x14ac:dyDescent="0.25">
      <c r="A12">
        <v>11</v>
      </c>
      <c r="B12">
        <v>60</v>
      </c>
      <c r="C12">
        <v>748</v>
      </c>
      <c r="D12">
        <v>30</v>
      </c>
      <c r="E12">
        <v>382</v>
      </c>
      <c r="F12" s="32">
        <v>17888</v>
      </c>
    </row>
    <row r="13" spans="1:6" x14ac:dyDescent="0.25">
      <c r="A13">
        <v>12</v>
      </c>
      <c r="B13">
        <v>48</v>
      </c>
      <c r="C13">
        <v>519</v>
      </c>
      <c r="D13">
        <v>18.600000000000001</v>
      </c>
      <c r="E13">
        <v>84</v>
      </c>
      <c r="F13">
        <v>4392</v>
      </c>
    </row>
    <row r="14" spans="1:6" x14ac:dyDescent="0.25">
      <c r="A14">
        <v>13</v>
      </c>
      <c r="B14">
        <v>46.08</v>
      </c>
      <c r="C14">
        <v>494.5</v>
      </c>
      <c r="D14">
        <v>16</v>
      </c>
      <c r="E14">
        <v>76</v>
      </c>
      <c r="F14">
        <v>4300</v>
      </c>
    </row>
    <row r="15" spans="1:6" x14ac:dyDescent="0.25">
      <c r="A15">
        <v>14</v>
      </c>
      <c r="B15">
        <v>25.5</v>
      </c>
      <c r="C15">
        <v>342</v>
      </c>
      <c r="D15">
        <v>1.3</v>
      </c>
      <c r="E15">
        <v>39</v>
      </c>
      <c r="F15">
        <v>1310</v>
      </c>
    </row>
    <row r="16" spans="1:6" x14ac:dyDescent="0.25">
      <c r="A16">
        <v>15</v>
      </c>
      <c r="B16">
        <v>38.4</v>
      </c>
      <c r="C16">
        <v>446</v>
      </c>
      <c r="D16">
        <v>4.2</v>
      </c>
      <c r="E16">
        <v>67</v>
      </c>
      <c r="F16">
        <v>2390</v>
      </c>
    </row>
    <row r="17" spans="1:6" x14ac:dyDescent="0.25">
      <c r="A17">
        <v>16</v>
      </c>
      <c r="B17">
        <v>43.52</v>
      </c>
      <c r="C17">
        <v>450</v>
      </c>
      <c r="D17">
        <v>8</v>
      </c>
      <c r="E17">
        <v>69</v>
      </c>
      <c r="F17">
        <v>2399</v>
      </c>
    </row>
    <row r="18" spans="1:6" x14ac:dyDescent="0.25">
      <c r="A18">
        <v>17</v>
      </c>
      <c r="B18">
        <v>34.4</v>
      </c>
      <c r="C18">
        <v>423</v>
      </c>
      <c r="D18">
        <v>2</v>
      </c>
      <c r="E18">
        <v>46.6</v>
      </c>
      <c r="F18">
        <v>2039</v>
      </c>
    </row>
    <row r="19" spans="1:6" x14ac:dyDescent="0.25">
      <c r="A19">
        <v>18</v>
      </c>
      <c r="B19">
        <v>30</v>
      </c>
      <c r="C19">
        <v>395</v>
      </c>
      <c r="D19">
        <v>1.4</v>
      </c>
      <c r="E19">
        <v>41</v>
      </c>
      <c r="F19">
        <v>1675</v>
      </c>
    </row>
    <row r="20" spans="1:6" x14ac:dyDescent="0.25">
      <c r="A20">
        <v>19</v>
      </c>
      <c r="B20">
        <v>20</v>
      </c>
      <c r="C20">
        <v>330</v>
      </c>
      <c r="D20">
        <v>0.2</v>
      </c>
      <c r="E20">
        <v>36</v>
      </c>
      <c r="F20">
        <v>253</v>
      </c>
    </row>
    <row r="21" spans="1:6" x14ac:dyDescent="0.25">
      <c r="A21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15A4-20A0-4C88-BFF2-EB3AED6566A2}">
  <sheetPr codeName="Sheet7"/>
  <dimension ref="A1:X51"/>
  <sheetViews>
    <sheetView workbookViewId="0">
      <selection activeCell="J5" sqref="J5"/>
    </sheetView>
  </sheetViews>
  <sheetFormatPr defaultRowHeight="15" x14ac:dyDescent="0.25"/>
  <cols>
    <col min="1" max="1" width="12" bestFit="1" customWidth="1"/>
    <col min="2" max="2" width="14.5703125" bestFit="1" customWidth="1"/>
    <col min="3" max="3" width="15.28515625" bestFit="1" customWidth="1"/>
    <col min="4" max="4" width="16.7109375" bestFit="1" customWidth="1"/>
    <col min="5" max="5" width="28.140625" bestFit="1" customWidth="1"/>
    <col min="6" max="6" width="17.7109375" bestFit="1" customWidth="1"/>
    <col min="7" max="7" width="14.85546875" customWidth="1"/>
    <col min="8" max="8" width="12.42578125" customWidth="1"/>
    <col min="9" max="9" width="10.140625" bestFit="1" customWidth="1"/>
    <col min="10" max="10" width="9.140625" customWidth="1"/>
    <col min="13" max="13" width="10.5703125" bestFit="1" customWidth="1"/>
    <col min="19" max="20" width="10.5703125" bestFit="1" customWidth="1"/>
    <col min="22" max="22" width="18.42578125" bestFit="1" customWidth="1"/>
  </cols>
  <sheetData>
    <row r="1" spans="2:24" x14ac:dyDescent="0.25">
      <c r="L1" s="12" t="s">
        <v>21</v>
      </c>
      <c r="M1" s="12"/>
      <c r="N1" s="12"/>
      <c r="O1" s="12"/>
      <c r="P1" s="12"/>
      <c r="Q1" s="12"/>
      <c r="S1" s="12" t="s">
        <v>22</v>
      </c>
      <c r="T1" s="12"/>
      <c r="U1" s="12"/>
      <c r="V1" s="12"/>
      <c r="W1" s="12"/>
      <c r="X1" s="12"/>
    </row>
    <row r="2" spans="2:24" ht="30.75" thickBot="1" x14ac:dyDescent="0.3">
      <c r="B2" s="9" t="s">
        <v>11</v>
      </c>
      <c r="D2" s="9" t="s">
        <v>12</v>
      </c>
      <c r="F2" s="9" t="s">
        <v>13</v>
      </c>
      <c r="H2" s="9" t="s">
        <v>16</v>
      </c>
      <c r="J2" s="10" t="s">
        <v>20</v>
      </c>
      <c r="L2" s="9" t="s">
        <v>18</v>
      </c>
      <c r="M2" s="9" t="s">
        <v>0</v>
      </c>
      <c r="N2" s="9" t="s">
        <v>19</v>
      </c>
      <c r="O2" s="9" t="s">
        <v>17</v>
      </c>
      <c r="P2" s="9" t="s">
        <v>2</v>
      </c>
      <c r="Q2" s="9" t="s">
        <v>3</v>
      </c>
      <c r="S2" t="s">
        <v>23</v>
      </c>
      <c r="T2" s="13" t="s">
        <v>24</v>
      </c>
      <c r="U2" s="13" t="s">
        <v>25</v>
      </c>
      <c r="V2" s="13"/>
    </row>
    <row r="3" spans="2:24" ht="15.75" thickBot="1" x14ac:dyDescent="0.3">
      <c r="B3" t="s">
        <v>7</v>
      </c>
      <c r="C3">
        <v>1</v>
      </c>
      <c r="D3" t="s">
        <v>9</v>
      </c>
      <c r="E3">
        <v>1</v>
      </c>
      <c r="F3" t="s">
        <v>14</v>
      </c>
      <c r="G3">
        <v>9</v>
      </c>
      <c r="H3">
        <v>2</v>
      </c>
      <c r="I3">
        <v>2</v>
      </c>
      <c r="J3">
        <v>6</v>
      </c>
      <c r="L3" cm="1">
        <f t="array" aca="1" ref="L3:L21" ca="1">OFFSET('Imported File'!A1,J3,0,19)</f>
        <v>6</v>
      </c>
      <c r="M3" cm="1">
        <f t="array" aca="1" ref="M3:M22" ca="1">OFFSET('Imported File'!$A$1,J3,1,20)</f>
        <v>61.44</v>
      </c>
      <c r="N3" cm="1">
        <f t="array" aca="1" ref="N3:N22" ca="1">OFFSET('Imported File'!$A$1,J3,2,20)</f>
        <v>784</v>
      </c>
      <c r="O3" cm="1">
        <f t="array" aca="1" ref="O3:O22" ca="1">OFFSET('Imported File'!$A$1,J3,3,20)</f>
        <v>38</v>
      </c>
      <c r="P3" cm="1">
        <f t="array" aca="1" ref="P3:P22" ca="1">OFFSET('Imported File'!$A$1,J3,4,20)</f>
        <v>456</v>
      </c>
      <c r="Q3" cm="1">
        <f t="array" aca="1" ref="Q3:Q22" ca="1">OFFSET('Imported File'!$A$1,J3,5,20)</f>
        <v>25878</v>
      </c>
      <c r="S3" t="str" cm="1">
        <f t="array" ref="S3:S7">TRANSPOSE(M2:Q2)</f>
        <v>Choke Size</v>
      </c>
      <c r="T3" s="14" t="str">
        <f>IF($S9=1,S3,IF($S9=2,S4,IF($S9=3,S5,IF($S9=4,S6,IF($S9=5,S7)))))</f>
        <v>Choke Size</v>
      </c>
      <c r="U3" s="14" t="str">
        <f>IF($S10=1,S3,IF($S10=2,S4,IF($S10=3,S5,IF($S10=4,S6,IF($S10=5,S7)))))</f>
        <v>BS&amp;W</v>
      </c>
      <c r="V3" s="14" t="s">
        <v>26</v>
      </c>
    </row>
    <row r="4" spans="2:24" x14ac:dyDescent="0.25">
      <c r="B4" t="s">
        <v>8</v>
      </c>
      <c r="D4" t="s">
        <v>10</v>
      </c>
      <c r="F4" t="s">
        <v>15</v>
      </c>
      <c r="H4">
        <v>10</v>
      </c>
      <c r="J4" t="s">
        <v>62</v>
      </c>
      <c r="L4">
        <f ca="1"/>
        <v>7</v>
      </c>
      <c r="M4">
        <f ca="1"/>
        <v>56.32</v>
      </c>
      <c r="N4">
        <f ca="1"/>
        <v>626</v>
      </c>
      <c r="O4">
        <f ca="1"/>
        <v>28</v>
      </c>
      <c r="P4">
        <f ca="1"/>
        <v>299</v>
      </c>
      <c r="Q4">
        <f ca="1"/>
        <v>14500</v>
      </c>
      <c r="S4" t="str">
        <v>Pwh</v>
      </c>
      <c r="T4" cm="1">
        <f t="array" aca="1" ref="T4:T23" ca="1">OFFSET(L2,1,S9,20)</f>
        <v>61.44</v>
      </c>
      <c r="U4" cm="1">
        <f t="array" aca="1" ref="U4:U23" ca="1">OFFSET(L2,1,S10,20)</f>
        <v>38</v>
      </c>
      <c r="V4" t="str">
        <f>"Chart of "&amp; U3&amp;" VS " &amp; T3</f>
        <v>Chart of BS&amp;W VS Choke Size</v>
      </c>
    </row>
    <row r="5" spans="2:24" x14ac:dyDescent="0.25">
      <c r="H5">
        <v>15</v>
      </c>
      <c r="L5">
        <f ca="1"/>
        <v>8</v>
      </c>
      <c r="M5">
        <f ca="1"/>
        <v>51.2</v>
      </c>
      <c r="N5">
        <f ca="1"/>
        <v>556</v>
      </c>
      <c r="O5">
        <f ca="1"/>
        <v>20</v>
      </c>
      <c r="P5">
        <f ca="1"/>
        <v>220</v>
      </c>
      <c r="Q5">
        <f ca="1"/>
        <v>8000</v>
      </c>
      <c r="S5" t="str">
        <v>BS&amp;W</v>
      </c>
      <c r="T5">
        <f ca="1"/>
        <v>56.32</v>
      </c>
      <c r="U5">
        <f ca="1"/>
        <v>28</v>
      </c>
    </row>
    <row r="6" spans="2:24" x14ac:dyDescent="0.25">
      <c r="H6">
        <v>20</v>
      </c>
      <c r="L6">
        <f ca="1"/>
        <v>9</v>
      </c>
      <c r="M6">
        <f ca="1"/>
        <v>58.88</v>
      </c>
      <c r="N6">
        <f ca="1"/>
        <v>650</v>
      </c>
      <c r="O6">
        <f ca="1"/>
        <v>28</v>
      </c>
      <c r="P6">
        <f ca="1"/>
        <v>362</v>
      </c>
      <c r="Q6">
        <f ca="1"/>
        <v>17100</v>
      </c>
      <c r="S6" t="str">
        <v>GLR</v>
      </c>
      <c r="T6">
        <f ca="1"/>
        <v>51.2</v>
      </c>
      <c r="U6">
        <f ca="1"/>
        <v>20</v>
      </c>
    </row>
    <row r="7" spans="2:24" x14ac:dyDescent="0.25">
      <c r="H7">
        <v>30</v>
      </c>
      <c r="L7">
        <f ca="1"/>
        <v>10</v>
      </c>
      <c r="M7">
        <f ca="1"/>
        <v>54</v>
      </c>
      <c r="N7">
        <f ca="1"/>
        <v>602</v>
      </c>
      <c r="O7">
        <f ca="1"/>
        <v>20</v>
      </c>
      <c r="P7">
        <f ca="1"/>
        <v>269</v>
      </c>
      <c r="Q7">
        <f ca="1"/>
        <v>13740</v>
      </c>
      <c r="S7" t="str">
        <v>Flowrate</v>
      </c>
      <c r="T7">
        <f ca="1"/>
        <v>58.88</v>
      </c>
      <c r="U7">
        <f ca="1"/>
        <v>28</v>
      </c>
    </row>
    <row r="8" spans="2:24" ht="15.75" thickBot="1" x14ac:dyDescent="0.3">
      <c r="H8">
        <v>45</v>
      </c>
      <c r="L8">
        <f ca="1"/>
        <v>11</v>
      </c>
      <c r="M8">
        <f ca="1"/>
        <v>60</v>
      </c>
      <c r="N8">
        <f ca="1"/>
        <v>748</v>
      </c>
      <c r="O8">
        <f ca="1"/>
        <v>30</v>
      </c>
      <c r="P8">
        <f ca="1"/>
        <v>382</v>
      </c>
      <c r="Q8">
        <f ca="1"/>
        <v>17888</v>
      </c>
      <c r="S8" s="9" t="s">
        <v>27</v>
      </c>
      <c r="T8">
        <f ca="1"/>
        <v>54</v>
      </c>
      <c r="U8">
        <f ca="1"/>
        <v>20</v>
      </c>
    </row>
    <row r="9" spans="2:24" x14ac:dyDescent="0.25">
      <c r="H9">
        <v>60</v>
      </c>
      <c r="L9">
        <f ca="1"/>
        <v>12</v>
      </c>
      <c r="M9">
        <f ca="1"/>
        <v>48</v>
      </c>
      <c r="N9">
        <f ca="1"/>
        <v>519</v>
      </c>
      <c r="O9">
        <f ca="1"/>
        <v>18.600000000000001</v>
      </c>
      <c r="P9">
        <f ca="1"/>
        <v>84</v>
      </c>
      <c r="Q9">
        <f ca="1"/>
        <v>4392</v>
      </c>
      <c r="S9">
        <v>1</v>
      </c>
      <c r="T9">
        <f ca="1"/>
        <v>60</v>
      </c>
      <c r="U9">
        <f ca="1"/>
        <v>30</v>
      </c>
    </row>
    <row r="10" spans="2:24" x14ac:dyDescent="0.25">
      <c r="L10">
        <f ca="1"/>
        <v>13</v>
      </c>
      <c r="M10">
        <f ca="1"/>
        <v>46.08</v>
      </c>
      <c r="N10">
        <f ca="1"/>
        <v>494.5</v>
      </c>
      <c r="O10">
        <f ca="1"/>
        <v>16</v>
      </c>
      <c r="P10">
        <f ca="1"/>
        <v>76</v>
      </c>
      <c r="Q10">
        <f ca="1"/>
        <v>4300</v>
      </c>
      <c r="S10">
        <v>3</v>
      </c>
      <c r="T10">
        <f ca="1"/>
        <v>48</v>
      </c>
      <c r="U10">
        <f ca="1"/>
        <v>18.600000000000001</v>
      </c>
    </row>
    <row r="11" spans="2:24" x14ac:dyDescent="0.25">
      <c r="L11">
        <f ca="1"/>
        <v>14</v>
      </c>
      <c r="M11">
        <f ca="1"/>
        <v>25.5</v>
      </c>
      <c r="N11">
        <f ca="1"/>
        <v>342</v>
      </c>
      <c r="O11">
        <f ca="1"/>
        <v>1.3</v>
      </c>
      <c r="P11">
        <f ca="1"/>
        <v>39</v>
      </c>
      <c r="Q11">
        <f ca="1"/>
        <v>1310</v>
      </c>
      <c r="T11">
        <f ca="1"/>
        <v>46.08</v>
      </c>
      <c r="U11">
        <f ca="1"/>
        <v>16</v>
      </c>
    </row>
    <row r="12" spans="2:24" x14ac:dyDescent="0.25">
      <c r="B12" s="12" t="s">
        <v>28</v>
      </c>
      <c r="C12" s="11"/>
      <c r="D12" s="11"/>
      <c r="E12" s="11"/>
      <c r="G12" s="12" t="s">
        <v>33</v>
      </c>
      <c r="H12" s="11"/>
      <c r="L12">
        <f ca="1"/>
        <v>15</v>
      </c>
      <c r="M12">
        <f ca="1"/>
        <v>38.4</v>
      </c>
      <c r="N12">
        <f ca="1"/>
        <v>446</v>
      </c>
      <c r="O12">
        <f ca="1"/>
        <v>4.2</v>
      </c>
      <c r="P12">
        <f ca="1"/>
        <v>67</v>
      </c>
      <c r="Q12">
        <f ca="1"/>
        <v>2390</v>
      </c>
      <c r="T12">
        <f ca="1"/>
        <v>25.5</v>
      </c>
      <c r="U12">
        <f ca="1"/>
        <v>1.3</v>
      </c>
    </row>
    <row r="13" spans="2:24" ht="15.75" thickBot="1" x14ac:dyDescent="0.3">
      <c r="B13" s="13"/>
      <c r="C13" s="13"/>
      <c r="D13" s="13"/>
      <c r="E13" s="13"/>
      <c r="G13" s="9" t="s">
        <v>35</v>
      </c>
      <c r="H13" s="9" t="s">
        <v>34</v>
      </c>
      <c r="L13">
        <f ca="1"/>
        <v>16</v>
      </c>
      <c r="M13">
        <f ca="1"/>
        <v>43.52</v>
      </c>
      <c r="N13">
        <f ca="1"/>
        <v>450</v>
      </c>
      <c r="O13">
        <f ca="1"/>
        <v>8</v>
      </c>
      <c r="P13">
        <f ca="1"/>
        <v>69</v>
      </c>
      <c r="Q13">
        <f ca="1"/>
        <v>2399</v>
      </c>
      <c r="T13">
        <f ca="1"/>
        <v>38.4</v>
      </c>
      <c r="U13">
        <f ca="1"/>
        <v>4.2</v>
      </c>
    </row>
    <row r="14" spans="2:24" ht="15.75" thickBot="1" x14ac:dyDescent="0.3">
      <c r="B14" s="14" t="s">
        <v>29</v>
      </c>
      <c r="C14" s="14" t="s">
        <v>0</v>
      </c>
      <c r="D14" s="14" t="str">
        <f>IF($B$19=1,$B$15,IF($B$19=2,$B$16))</f>
        <v>BS&amp;W</v>
      </c>
      <c r="E14" s="14" t="s">
        <v>31</v>
      </c>
      <c r="G14" t="s">
        <v>36</v>
      </c>
      <c r="H14">
        <v>0.88360000000000005</v>
      </c>
      <c r="L14">
        <f ca="1"/>
        <v>17</v>
      </c>
      <c r="M14">
        <f ca="1"/>
        <v>34.4</v>
      </c>
      <c r="N14">
        <f ca="1"/>
        <v>423</v>
      </c>
      <c r="O14">
        <f ca="1"/>
        <v>2</v>
      </c>
      <c r="P14">
        <f ca="1"/>
        <v>46.6</v>
      </c>
      <c r="Q14">
        <f ca="1"/>
        <v>2039</v>
      </c>
      <c r="T14">
        <f ca="1"/>
        <v>43.52</v>
      </c>
      <c r="U14">
        <f ca="1"/>
        <v>8</v>
      </c>
    </row>
    <row r="15" spans="2:24" x14ac:dyDescent="0.25">
      <c r="B15" t="s">
        <v>17</v>
      </c>
      <c r="C15">
        <f ca="1">Data!M12</f>
        <v>61.44</v>
      </c>
      <c r="D15" cm="1">
        <f t="array" aca="1" ref="D15:D18" ca="1">OFFSET(Data!M11,1,Edit!B19+1,4)</f>
        <v>38</v>
      </c>
      <c r="E15" t="str">
        <f>"Graph of "&amp;D14 &amp;" VS  Choke Size"</f>
        <v>Graph of BS&amp;W VS  Choke Size</v>
      </c>
      <c r="G15" t="s">
        <v>37</v>
      </c>
      <c r="H15">
        <v>0.91020000000000001</v>
      </c>
      <c r="L15">
        <f ca="1"/>
        <v>18</v>
      </c>
      <c r="M15">
        <f ca="1"/>
        <v>30</v>
      </c>
      <c r="N15">
        <f ca="1"/>
        <v>395</v>
      </c>
      <c r="O15">
        <f ca="1"/>
        <v>1.4</v>
      </c>
      <c r="P15">
        <f ca="1"/>
        <v>41</v>
      </c>
      <c r="Q15">
        <f ca="1"/>
        <v>1675</v>
      </c>
      <c r="T15">
        <f ca="1"/>
        <v>34.4</v>
      </c>
      <c r="U15">
        <f ca="1"/>
        <v>2</v>
      </c>
    </row>
    <row r="16" spans="2:24" x14ac:dyDescent="0.25">
      <c r="B16" t="s">
        <v>30</v>
      </c>
      <c r="C16">
        <f ca="1">Data!M13</f>
        <v>56.32</v>
      </c>
      <c r="D16">
        <f ca="1"/>
        <v>28</v>
      </c>
      <c r="G16" t="s">
        <v>38</v>
      </c>
      <c r="H16">
        <v>0.91949999999999998</v>
      </c>
      <c r="L16">
        <f ca="1"/>
        <v>19</v>
      </c>
      <c r="M16">
        <f ca="1"/>
        <v>20</v>
      </c>
      <c r="N16">
        <f ca="1"/>
        <v>330</v>
      </c>
      <c r="O16">
        <f ca="1"/>
        <v>0.2</v>
      </c>
      <c r="P16">
        <f ca="1"/>
        <v>36</v>
      </c>
      <c r="Q16">
        <f ca="1"/>
        <v>253</v>
      </c>
      <c r="T16">
        <f ca="1"/>
        <v>30</v>
      </c>
      <c r="U16">
        <f ca="1"/>
        <v>1.4</v>
      </c>
    </row>
    <row r="17" spans="1:21" x14ac:dyDescent="0.25">
      <c r="C17">
        <f ca="1">Data!M14</f>
        <v>51.2</v>
      </c>
      <c r="D17">
        <f ca="1"/>
        <v>20</v>
      </c>
      <c r="G17" t="s">
        <v>39</v>
      </c>
      <c r="H17">
        <v>0.87370000000000003</v>
      </c>
      <c r="L17">
        <f ca="1"/>
        <v>20</v>
      </c>
      <c r="M17">
        <f ca="1"/>
        <v>0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  <c r="T17">
        <f ca="1"/>
        <v>20</v>
      </c>
      <c r="U17">
        <f ca="1"/>
        <v>0.2</v>
      </c>
    </row>
    <row r="18" spans="1:21" x14ac:dyDescent="0.25">
      <c r="B18" t="s">
        <v>27</v>
      </c>
      <c r="C18">
        <f ca="1">Data!M15</f>
        <v>58.88</v>
      </c>
      <c r="D18">
        <f ca="1"/>
        <v>28</v>
      </c>
      <c r="L18">
        <f ca="1"/>
        <v>0</v>
      </c>
      <c r="M18">
        <f ca="1"/>
        <v>0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  <c r="T18">
        <f ca="1"/>
        <v>0</v>
      </c>
      <c r="U18">
        <f ca="1"/>
        <v>0</v>
      </c>
    </row>
    <row r="19" spans="1:21" x14ac:dyDescent="0.25">
      <c r="B19">
        <v>1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  <c r="T19">
        <f ca="1"/>
        <v>0</v>
      </c>
      <c r="U19">
        <f ca="1"/>
        <v>0</v>
      </c>
    </row>
    <row r="20" spans="1:21" x14ac:dyDescent="0.25"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  <c r="T20">
        <f ca="1"/>
        <v>0</v>
      </c>
      <c r="U20">
        <f ca="1"/>
        <v>0</v>
      </c>
    </row>
    <row r="21" spans="1:21" x14ac:dyDescent="0.25">
      <c r="B21" s="18" t="s">
        <v>46</v>
      </c>
      <c r="C21" s="15"/>
      <c r="D21" s="15"/>
      <c r="F21" s="12" t="s">
        <v>47</v>
      </c>
      <c r="G21" s="12"/>
      <c r="H21" s="12"/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  <c r="T21">
        <f ca="1"/>
        <v>0</v>
      </c>
      <c r="U21">
        <f ca="1"/>
        <v>0</v>
      </c>
    </row>
    <row r="22" spans="1:21" ht="15.75" thickBot="1" x14ac:dyDescent="0.3">
      <c r="B22" s="14" t="s">
        <v>43</v>
      </c>
      <c r="C22" t="s">
        <v>40</v>
      </c>
      <c r="D22">
        <v>1</v>
      </c>
      <c r="F22" s="9" t="s">
        <v>48</v>
      </c>
      <c r="G22" s="9" t="s">
        <v>49</v>
      </c>
      <c r="H22" s="9" t="s">
        <v>50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  <c r="T22">
        <f ca="1"/>
        <v>0</v>
      </c>
      <c r="U22">
        <f ca="1"/>
        <v>0</v>
      </c>
    </row>
    <row r="23" spans="1:21" x14ac:dyDescent="0.25">
      <c r="B23" t="s">
        <v>44</v>
      </c>
      <c r="C23" t="s">
        <v>41</v>
      </c>
      <c r="D23">
        <v>1</v>
      </c>
      <c r="F23" t="s">
        <v>64</v>
      </c>
      <c r="G23" t="s">
        <v>51</v>
      </c>
      <c r="H23" t="s">
        <v>44</v>
      </c>
      <c r="T23">
        <f ca="1"/>
        <v>0</v>
      </c>
      <c r="U23">
        <f ca="1"/>
        <v>0</v>
      </c>
    </row>
    <row r="24" spans="1:21" x14ac:dyDescent="0.25">
      <c r="B24" t="s">
        <v>45</v>
      </c>
      <c r="C24" t="s">
        <v>42</v>
      </c>
      <c r="D24">
        <v>1</v>
      </c>
      <c r="F24" t="s">
        <v>52</v>
      </c>
      <c r="G24" t="s">
        <v>53</v>
      </c>
      <c r="H24" t="s">
        <v>45</v>
      </c>
    </row>
    <row r="25" spans="1:21" x14ac:dyDescent="0.25">
      <c r="F25">
        <v>1</v>
      </c>
      <c r="G25">
        <v>1</v>
      </c>
      <c r="H25">
        <v>1</v>
      </c>
    </row>
    <row r="27" spans="1:21" ht="15.75" thickBot="1" x14ac:dyDescent="0.3">
      <c r="A27" s="9" t="s">
        <v>60</v>
      </c>
      <c r="B27" s="12" t="s">
        <v>54</v>
      </c>
      <c r="C27" s="11"/>
      <c r="E27" s="12" t="s">
        <v>55</v>
      </c>
      <c r="F27" s="12"/>
      <c r="H27" s="12" t="s">
        <v>56</v>
      </c>
      <c r="I27" s="11"/>
    </row>
    <row r="28" spans="1:21" ht="15.75" thickBot="1" x14ac:dyDescent="0.3">
      <c r="A28">
        <v>57.587585917184541</v>
      </c>
      <c r="B28" s="9" t="s">
        <v>12</v>
      </c>
      <c r="C28" s="9" t="s">
        <v>57</v>
      </c>
      <c r="E28" s="9" t="s">
        <v>12</v>
      </c>
      <c r="F28" s="9" t="s">
        <v>57</v>
      </c>
      <c r="H28" s="9" t="s">
        <v>12</v>
      </c>
      <c r="I28" s="9" t="s">
        <v>57</v>
      </c>
    </row>
    <row r="29" spans="1:21" x14ac:dyDescent="0.25">
      <c r="A29">
        <v>1</v>
      </c>
      <c r="B29" t="s">
        <v>36</v>
      </c>
      <c r="C29" cm="1">
        <f t="array" aca="1" ref="C29" ca="1">SUM(LINEST(Data!$Q$12:$Q$15,(Data!$M$12:$M$15))*CHOOSE({1,2},$A$28,$A$29))</f>
        <v>17391.750605685433</v>
      </c>
      <c r="E29" t="s">
        <v>36</v>
      </c>
      <c r="F29" cm="1">
        <f t="array" aca="1" ref="F29" ca="1">SUM(LINEST(Data!$P$12:$P$15,(Data!$M$12:$M$15))*CHOOSE({1,2},$A$28,$A$29))</f>
        <v>348.25160991575785</v>
      </c>
      <c r="H29" t="s">
        <v>36</v>
      </c>
      <c r="I29" cm="1">
        <f t="array" aca="1" ref="I29" ca="1">SUM(LINEST(Data!$O$12:$O$15,(Data!$M$12:$M$15))*CHOOSE({1,2},$A$28,$A$29))</f>
        <v>29.494611609823735</v>
      </c>
    </row>
    <row r="30" spans="1:21" x14ac:dyDescent="0.25">
      <c r="A30">
        <f>A28^2</f>
        <v>3316.3300517691114</v>
      </c>
      <c r="B30" t="s">
        <v>37</v>
      </c>
      <c r="C30" cm="1">
        <f t="array" aca="1" ref="C30" ca="1">EXP(SUM(LINEST(LN(Data!$Q$12:$Q$15),(Data!$M$12:$M$15))*CHOOSE({1,2},$A$28,$A$29)))</f>
        <v>16133.06939382163</v>
      </c>
      <c r="E30" t="s">
        <v>37</v>
      </c>
      <c r="F30" cm="1">
        <f t="array" aca="1" ref="F30" ca="1">EXP(SUM(LINEST(LN(Data!$P$12:$P$15),(Data!$M$12:$M$15))*CHOOSE({1,2},$A$28,$A$29)))</f>
        <v>337.3443300558589</v>
      </c>
      <c r="H30" t="s">
        <v>37</v>
      </c>
      <c r="I30" cm="1">
        <f t="array" aca="1" ref="I30" ca="1">EXP(SUM(LINEST(LN(Data!$O$12:$O$15),(Data!$M$12:$M$15))*CHOOSE({1,2},$A$28,$A$29)))</f>
        <v>28.806917962935088</v>
      </c>
    </row>
    <row r="31" spans="1:21" x14ac:dyDescent="0.25">
      <c r="B31" t="s">
        <v>38</v>
      </c>
      <c r="C31" cm="1">
        <f t="array" aca="1" ref="C31" ca="1">SUM(LINEST(Data!$Q$12:$Q$15,(Data!$M$12:$M$15)^{1,2})*CHOOSE({1,2,3},$A$30,$A$28,$A$29))</f>
        <v>15746.695488765894</v>
      </c>
      <c r="E31" t="s">
        <v>38</v>
      </c>
      <c r="F31" cm="1">
        <f t="array" aca="1" ref="F31" ca="1">SUM(LINEST(Data!$P$12:$P$15,(Data!$M$12:$M$15)^{1,2})*CHOOSE({1,2,3},$A$30,$A$28,$A$29))</f>
        <v>328.01634858533544</v>
      </c>
      <c r="H31" t="s">
        <v>38</v>
      </c>
      <c r="I31" cm="1">
        <f t="array" aca="1" ref="I31" ca="1">SUM(LINEST(Data!$O$12:$O$15,(Data!$M$12:$M$15)^{1,2})*CHOOSE({1,2,3},$A$30,$A$28,$A$29))</f>
        <v>28.151563291432865</v>
      </c>
    </row>
    <row r="32" spans="1:21" x14ac:dyDescent="0.25">
      <c r="B32" t="s">
        <v>39</v>
      </c>
      <c r="C32" cm="1">
        <f t="array" aca="1" ref="C32" ca="1">SUM(LINEST(Data!$Q$12:$Q$15,($B$34:$B$37))*(CHOOSE({1,2},LN($A$28),$A$29)))</f>
        <v>17566.538830360689</v>
      </c>
      <c r="E32" t="s">
        <v>39</v>
      </c>
      <c r="F32" cm="1">
        <f t="array" aca="1" ref="F32" ca="1">SUM(LINEST(Data!$P$12:$P$15,($B$34:$B$37))*(CHOOSE({1,2},LN($A$28),$A$29)))</f>
        <v>350.6554692513073</v>
      </c>
      <c r="H32" t="s">
        <v>39</v>
      </c>
      <c r="I32" cm="1">
        <f t="array" aca="1" ref="I32" ca="1">SUM(LINEST(Data!$O$12:$O$15,($B$34:$B$37))*(CHOOSE({1,2},LN($A$28),$A$29)))</f>
        <v>29.665985123444216</v>
      </c>
    </row>
    <row r="33" spans="1:3" ht="15.75" thickBot="1" x14ac:dyDescent="0.3">
      <c r="B33" s="9" t="s">
        <v>61</v>
      </c>
    </row>
    <row r="34" spans="1:3" x14ac:dyDescent="0.25">
      <c r="B34">
        <f ca="1">LN(Data!M12)</f>
        <v>4.1180610888394167</v>
      </c>
      <c r="C34">
        <v>16</v>
      </c>
    </row>
    <row r="35" spans="1:3" x14ac:dyDescent="0.25">
      <c r="B35">
        <f ca="1">LN(Data!M13)</f>
        <v>4.0310497118497866</v>
      </c>
      <c r="C35">
        <v>20</v>
      </c>
    </row>
    <row r="36" spans="1:3" x14ac:dyDescent="0.25">
      <c r="B36">
        <f ca="1">LN(Data!M14)</f>
        <v>3.9357395320454622</v>
      </c>
      <c r="C36">
        <v>24</v>
      </c>
    </row>
    <row r="37" spans="1:3" x14ac:dyDescent="0.25">
      <c r="A37">
        <f>60*1.01</f>
        <v>60.6</v>
      </c>
      <c r="B37">
        <f ca="1">LN(Data!M15)</f>
        <v>4.0755014744206211</v>
      </c>
      <c r="C37">
        <v>28</v>
      </c>
    </row>
    <row r="38" spans="1:3" x14ac:dyDescent="0.25">
      <c r="B38">
        <f ca="1">LN(Data!M16)</f>
        <v>3.9889840465642745</v>
      </c>
      <c r="C38">
        <v>32</v>
      </c>
    </row>
    <row r="39" spans="1:3" x14ac:dyDescent="0.25">
      <c r="C39">
        <v>36</v>
      </c>
    </row>
    <row r="40" spans="1:3" x14ac:dyDescent="0.25">
      <c r="C40">
        <v>40</v>
      </c>
    </row>
    <row r="41" spans="1:3" x14ac:dyDescent="0.25">
      <c r="C41">
        <v>44</v>
      </c>
    </row>
    <row r="42" spans="1:3" x14ac:dyDescent="0.25">
      <c r="C42">
        <v>48</v>
      </c>
    </row>
    <row r="43" spans="1:3" x14ac:dyDescent="0.25">
      <c r="C43">
        <v>52</v>
      </c>
    </row>
    <row r="44" spans="1:3" x14ac:dyDescent="0.25">
      <c r="C44">
        <v>56</v>
      </c>
    </row>
    <row r="45" spans="1:3" x14ac:dyDescent="0.25">
      <c r="C45">
        <v>60</v>
      </c>
    </row>
    <row r="46" spans="1:3" x14ac:dyDescent="0.25">
      <c r="C46">
        <v>64</v>
      </c>
    </row>
    <row r="47" spans="1:3" x14ac:dyDescent="0.25">
      <c r="C47">
        <v>68</v>
      </c>
    </row>
    <row r="48" spans="1:3" x14ac:dyDescent="0.25">
      <c r="C48">
        <v>72</v>
      </c>
    </row>
    <row r="49" spans="3:3" x14ac:dyDescent="0.25">
      <c r="C49">
        <v>76</v>
      </c>
    </row>
    <row r="50" spans="3:3" x14ac:dyDescent="0.25">
      <c r="C50">
        <v>80</v>
      </c>
    </row>
    <row r="51" spans="3:3" x14ac:dyDescent="0.25">
      <c r="C51">
        <v>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EA50-FCCB-4C43-9C5A-0A81080CD515}">
  <sheetPr codeName="Sheet1"/>
  <dimension ref="A1:S28"/>
  <sheetViews>
    <sheetView showGridLines="0" showRowColHeaders="0" tabSelected="1" zoomScale="128" zoomScaleNormal="145" workbookViewId="0"/>
  </sheetViews>
  <sheetFormatPr defaultRowHeight="15" x14ac:dyDescent="0.25"/>
  <cols>
    <col min="11" max="12" width="9.140625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/>
      <c r="B2" s="1"/>
      <c r="C2" s="1"/>
      <c r="D2" s="36" t="s">
        <v>4</v>
      </c>
      <c r="E2" s="36"/>
      <c r="F2" s="36"/>
      <c r="G2" s="36"/>
      <c r="H2" s="36"/>
      <c r="I2" s="36"/>
      <c r="J2" s="36"/>
      <c r="K2" s="36"/>
      <c r="L2" s="36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36"/>
      <c r="E3" s="36"/>
      <c r="F3" s="36"/>
      <c r="G3" s="36"/>
      <c r="H3" s="36"/>
      <c r="I3" s="36"/>
      <c r="J3" s="36"/>
      <c r="K3" s="36"/>
      <c r="L3" s="36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" t="s">
        <v>0</v>
      </c>
      <c r="N11" s="5" t="s">
        <v>1</v>
      </c>
      <c r="O11" s="5" t="s">
        <v>17</v>
      </c>
      <c r="P11" s="5" t="s">
        <v>2</v>
      </c>
      <c r="Q11" s="5" t="s">
        <v>3</v>
      </c>
      <c r="R11" s="1"/>
      <c r="S11" s="1"/>
    </row>
    <row r="12" spans="1:19" ht="15.75" thickBo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2">
        <f ca="1">Edit!M3</f>
        <v>61.44</v>
      </c>
      <c r="N12" s="2">
        <f ca="1">Edit!N3</f>
        <v>784</v>
      </c>
      <c r="O12" s="2">
        <f ca="1">Edit!O3</f>
        <v>38</v>
      </c>
      <c r="P12" s="2">
        <f ca="1">Edit!P3</f>
        <v>456</v>
      </c>
      <c r="Q12" s="2">
        <f ca="1">Edit!Q3</f>
        <v>25878</v>
      </c>
      <c r="R12" s="1"/>
      <c r="S12" s="1"/>
    </row>
    <row r="13" spans="1:19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2">
        <f ca="1">Edit!M4</f>
        <v>56.32</v>
      </c>
      <c r="N13" s="2">
        <f ca="1">Edit!N4</f>
        <v>626</v>
      </c>
      <c r="O13" s="2">
        <f ca="1">Edit!O4</f>
        <v>28</v>
      </c>
      <c r="P13" s="2">
        <f ca="1">Edit!P4</f>
        <v>299</v>
      </c>
      <c r="Q13" s="2">
        <f ca="1">Edit!Q4</f>
        <v>14500</v>
      </c>
      <c r="R13" s="1"/>
      <c r="S13" s="1"/>
    </row>
    <row r="14" spans="1:19" ht="15.75" thickBot="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2">
        <f ca="1">Edit!M5</f>
        <v>51.2</v>
      </c>
      <c r="N14" s="2">
        <f ca="1">Edit!N5</f>
        <v>556</v>
      </c>
      <c r="O14" s="2">
        <f ca="1">Edit!O5</f>
        <v>20</v>
      </c>
      <c r="P14" s="2">
        <f ca="1">Edit!P5</f>
        <v>220</v>
      </c>
      <c r="Q14" s="2">
        <f ca="1">Edit!Q5</f>
        <v>8000</v>
      </c>
      <c r="R14" s="1"/>
      <c r="S14" s="1"/>
    </row>
    <row r="15" spans="1:19" ht="15.75" thickBo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2">
        <f ca="1">Edit!M6</f>
        <v>58.88</v>
      </c>
      <c r="N15" s="2">
        <f ca="1">Edit!N6</f>
        <v>650</v>
      </c>
      <c r="O15" s="2">
        <f ca="1">Edit!O6</f>
        <v>28</v>
      </c>
      <c r="P15" s="2">
        <f ca="1">Edit!P6</f>
        <v>362</v>
      </c>
      <c r="Q15" s="2">
        <f ca="1">Edit!Q6</f>
        <v>17100</v>
      </c>
      <c r="R15" s="1"/>
      <c r="S15" s="1"/>
    </row>
    <row r="16" spans="1:19" ht="15.75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2">
        <f ca="1">Edit!M7</f>
        <v>54</v>
      </c>
      <c r="N16" s="2">
        <f ca="1">Edit!N7</f>
        <v>602</v>
      </c>
      <c r="O16" s="2">
        <f ca="1">Edit!O7</f>
        <v>20</v>
      </c>
      <c r="P16" s="2">
        <f ca="1">Edit!P7</f>
        <v>269</v>
      </c>
      <c r="Q16" s="2">
        <f ca="1">Edit!Q7</f>
        <v>13740</v>
      </c>
      <c r="R16" s="1"/>
      <c r="S16" s="1"/>
    </row>
    <row r="17" spans="1:19" ht="15.75" thickBot="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2">
        <f ca="1">Edit!M8</f>
        <v>60</v>
      </c>
      <c r="N17" s="2">
        <f ca="1">Edit!N8</f>
        <v>748</v>
      </c>
      <c r="O17" s="2">
        <f ca="1">Edit!O8</f>
        <v>30</v>
      </c>
      <c r="P17" s="2">
        <f ca="1">Edit!P8</f>
        <v>382</v>
      </c>
      <c r="Q17" s="2">
        <f ca="1">Edit!Q8</f>
        <v>17888</v>
      </c>
      <c r="R17" s="1"/>
      <c r="S17" s="1"/>
    </row>
    <row r="18" spans="1:19" ht="15.75" thickBot="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2">
        <f ca="1">Edit!M9</f>
        <v>48</v>
      </c>
      <c r="N18" s="2">
        <f ca="1">Edit!N9</f>
        <v>519</v>
      </c>
      <c r="O18" s="2">
        <f ca="1">Edit!O9</f>
        <v>18.600000000000001</v>
      </c>
      <c r="P18" s="2">
        <f ca="1">Edit!P9</f>
        <v>84</v>
      </c>
      <c r="Q18" s="2">
        <f ca="1">Edit!Q9</f>
        <v>4392</v>
      </c>
      <c r="R18" s="1"/>
      <c r="S18" s="1"/>
    </row>
    <row r="19" spans="1:19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2">
        <f ca="1">Edit!M10</f>
        <v>46.08</v>
      </c>
      <c r="N19" s="2">
        <f ca="1">Edit!N10</f>
        <v>494.5</v>
      </c>
      <c r="O19" s="2">
        <f ca="1">Edit!O10</f>
        <v>16</v>
      </c>
      <c r="P19" s="2">
        <f ca="1">Edit!P10</f>
        <v>76</v>
      </c>
      <c r="Q19" s="2">
        <f ca="1">Edit!Q10</f>
        <v>4300</v>
      </c>
      <c r="R19" s="1"/>
      <c r="S19" s="1"/>
    </row>
    <row r="20" spans="1:19" ht="15.75" thickBo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2">
        <f ca="1">Edit!M11</f>
        <v>25.5</v>
      </c>
      <c r="N20" s="2">
        <f ca="1">Edit!N11</f>
        <v>342</v>
      </c>
      <c r="O20" s="2">
        <f ca="1">Edit!O11</f>
        <v>1.3</v>
      </c>
      <c r="P20" s="2">
        <f ca="1">Edit!P11</f>
        <v>39</v>
      </c>
      <c r="Q20" s="2">
        <f ca="1">Edit!Q11</f>
        <v>1310</v>
      </c>
      <c r="R20" s="1"/>
      <c r="S20" s="1"/>
    </row>
    <row r="21" spans="1:19" ht="15.75" thickBo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2">
        <f ca="1">Edit!M12</f>
        <v>38.4</v>
      </c>
      <c r="N21" s="2">
        <f ca="1">Edit!N12</f>
        <v>446</v>
      </c>
      <c r="O21" s="2">
        <f ca="1">Edit!O12</f>
        <v>4.2</v>
      </c>
      <c r="P21" s="2">
        <f ca="1">Edit!P12</f>
        <v>67</v>
      </c>
      <c r="Q21" s="2">
        <f ca="1">Edit!Q12</f>
        <v>2390</v>
      </c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2">
        <f ca="1">Edit!M13</f>
        <v>43.52</v>
      </c>
      <c r="N22" s="2">
        <f ca="1">Edit!N13</f>
        <v>450</v>
      </c>
      <c r="O22" s="2">
        <f ca="1">Edit!O13</f>
        <v>8</v>
      </c>
      <c r="P22" s="2">
        <f ca="1">Edit!P13</f>
        <v>69</v>
      </c>
      <c r="Q22" s="2">
        <f ca="1">Edit!Q13</f>
        <v>2399</v>
      </c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3"/>
      <c r="N23" s="3"/>
      <c r="O23" s="3"/>
      <c r="P23" s="3"/>
      <c r="Q23" s="3"/>
      <c r="R23" s="1"/>
      <c r="S23" s="1"/>
    </row>
    <row r="24" spans="1:19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"/>
      <c r="N24" s="4"/>
      <c r="O24" s="4"/>
      <c r="P24" s="4"/>
      <c r="Q24" s="4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</sheetData>
  <mergeCells count="1">
    <mergeCell ref="D2:L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Option Button 8">
              <controlPr defaultSize="0" autoFill="0" autoLine="0" autoPict="0">
                <anchor>
                  <from>
                    <xdr:col>8</xdr:col>
                    <xdr:colOff>180975</xdr:colOff>
                    <xdr:row>14</xdr:row>
                    <xdr:rowOff>38100</xdr:rowOff>
                  </from>
                  <to>
                    <xdr:col>9</xdr:col>
                    <xdr:colOff>485775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Option Button 9">
              <controlPr defaultSize="0" autoFill="0" autoLine="0" autoPict="0">
                <anchor moveWithCells="1">
                  <from>
                    <xdr:col>8</xdr:col>
                    <xdr:colOff>171450</xdr:colOff>
                    <xdr:row>15</xdr:row>
                    <xdr:rowOff>57150</xdr:rowOff>
                  </from>
                  <to>
                    <xdr:col>9</xdr:col>
                    <xdr:colOff>533400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Option Button 12">
              <controlPr defaultSize="0" autoFill="0" autoLine="0" autoPict="0">
                <anchor>
                  <from>
                    <xdr:col>6</xdr:col>
                    <xdr:colOff>133350</xdr:colOff>
                    <xdr:row>14</xdr:row>
                    <xdr:rowOff>0</xdr:rowOff>
                  </from>
                  <to>
                    <xdr:col>7</xdr:col>
                    <xdr:colOff>438150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Option Button 13">
              <controlPr defaultSize="0" autoFill="0" autoLine="0" autoPict="0">
                <anchor moveWithCells="1">
                  <from>
                    <xdr:col>6</xdr:col>
                    <xdr:colOff>133350</xdr:colOff>
                    <xdr:row>15</xdr:row>
                    <xdr:rowOff>47625</xdr:rowOff>
                  </from>
                  <to>
                    <xdr:col>7</xdr:col>
                    <xdr:colOff>495300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Group Box 16">
              <controlPr defaultSize="0" print="0" autoFill="0" autoPict="0" altText="">
                <anchor>
                  <from>
                    <xdr:col>8</xdr:col>
                    <xdr:colOff>114300</xdr:colOff>
                    <xdr:row>13</xdr:row>
                    <xdr:rowOff>161925</xdr:rowOff>
                  </from>
                  <to>
                    <xdr:col>10</xdr:col>
                    <xdr:colOff>38100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Group Box 17">
              <controlPr defaultSize="0" autoFill="0" autoPict="0">
                <anchor moveWithCells="1">
                  <from>
                    <xdr:col>6</xdr:col>
                    <xdr:colOff>95250</xdr:colOff>
                    <xdr:row>13</xdr:row>
                    <xdr:rowOff>180975</xdr:rowOff>
                  </from>
                  <to>
                    <xdr:col>7</xdr:col>
                    <xdr:colOff>600075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Option Button 22">
              <controlPr defaultSize="0" autoFill="0" autoLine="0" autoPict="0">
                <anchor moveWithCells="1">
                  <from>
                    <xdr:col>4</xdr:col>
                    <xdr:colOff>133350</xdr:colOff>
                    <xdr:row>13</xdr:row>
                    <xdr:rowOff>190500</xdr:rowOff>
                  </from>
                  <to>
                    <xdr:col>5</xdr:col>
                    <xdr:colOff>504825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Option Button 23">
              <controlPr defaultSize="0" autoFill="0" autoLine="0" autoPict="0">
                <anchor moveWithCells="1">
                  <from>
                    <xdr:col>4</xdr:col>
                    <xdr:colOff>142875</xdr:colOff>
                    <xdr:row>15</xdr:row>
                    <xdr:rowOff>47625</xdr:rowOff>
                  </from>
                  <to>
                    <xdr:col>5</xdr:col>
                    <xdr:colOff>504825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Group Box 25">
              <controlPr defaultSize="0" autoFill="0" autoPict="0">
                <anchor moveWithCells="1">
                  <from>
                    <xdr:col>4</xdr:col>
                    <xdr:colOff>85725</xdr:colOff>
                    <xdr:row>13</xdr:row>
                    <xdr:rowOff>180975</xdr:rowOff>
                  </from>
                  <to>
                    <xdr:col>6</xdr:col>
                    <xdr:colOff>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Drop Down 26">
              <controlPr defaultSize="0" autoLine="0" autoPict="0">
                <anchor moveWithCells="1">
                  <from>
                    <xdr:col>6</xdr:col>
                    <xdr:colOff>476250</xdr:colOff>
                    <xdr:row>21</xdr:row>
                    <xdr:rowOff>133350</xdr:rowOff>
                  </from>
                  <to>
                    <xdr:col>8</xdr:col>
                    <xdr:colOff>495300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Drop Down 27">
              <controlPr defaultSize="0" autoLine="0" autoPict="0">
                <anchor moveWithCells="1">
                  <from>
                    <xdr:col>6</xdr:col>
                    <xdr:colOff>476250</xdr:colOff>
                    <xdr:row>23</xdr:row>
                    <xdr:rowOff>152400</xdr:rowOff>
                  </from>
                  <to>
                    <xdr:col>8</xdr:col>
                    <xdr:colOff>495300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Drop Down 28">
              <controlPr defaultSize="0" autoLine="0" autoPict="0">
                <anchor moveWithCells="1">
                  <from>
                    <xdr:col>6</xdr:col>
                    <xdr:colOff>466725</xdr:colOff>
                    <xdr:row>25</xdr:row>
                    <xdr:rowOff>152400</xdr:rowOff>
                  </from>
                  <to>
                    <xdr:col>8</xdr:col>
                    <xdr:colOff>495300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6" name="Drop Down 33">
              <controlPr defaultSize="0" autoLine="0" autoPict="0">
                <anchor>
                  <from>
                    <xdr:col>13</xdr:col>
                    <xdr:colOff>552450</xdr:colOff>
                    <xdr:row>6</xdr:row>
                    <xdr:rowOff>161925</xdr:rowOff>
                  </from>
                  <to>
                    <xdr:col>14</xdr:col>
                    <xdr:colOff>552450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Scroll Bar 38">
              <controlPr defaultSize="0" autoPict="0">
                <anchor moveWithCells="1">
                  <from>
                    <xdr:col>17</xdr:col>
                    <xdr:colOff>19050</xdr:colOff>
                    <xdr:row>10</xdr:row>
                    <xdr:rowOff>190500</xdr:rowOff>
                  </from>
                  <to>
                    <xdr:col>17</xdr:col>
                    <xdr:colOff>238125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6FBC2-F476-4650-8D1C-88014AC7215F}">
  <sheetPr codeName="Sheet2"/>
  <dimension ref="A1:S28"/>
  <sheetViews>
    <sheetView showGridLines="0" showRowColHeaders="0" zoomScale="162" zoomScaleNormal="130" workbookViewId="0"/>
  </sheetViews>
  <sheetFormatPr defaultRowHeight="15" x14ac:dyDescent="0.25"/>
  <sheetData>
    <row r="1" spans="1:19" x14ac:dyDescent="0.25">
      <c r="A1" s="1" t="s">
        <v>65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/>
      <c r="B2" s="1"/>
      <c r="C2" s="1"/>
      <c r="D2" s="36" t="s">
        <v>4</v>
      </c>
      <c r="E2" s="36"/>
      <c r="F2" s="36"/>
      <c r="G2" s="36"/>
      <c r="H2" s="36"/>
      <c r="I2" s="36"/>
      <c r="J2" s="36"/>
      <c r="K2" s="36"/>
      <c r="L2" s="36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36"/>
      <c r="E3" s="36"/>
      <c r="F3" s="36"/>
      <c r="G3" s="36"/>
      <c r="H3" s="36"/>
      <c r="I3" s="36"/>
      <c r="J3" s="36"/>
      <c r="K3" s="36"/>
      <c r="L3" s="36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37">
        <v>12</v>
      </c>
      <c r="R7" s="1"/>
      <c r="S7" s="1"/>
    </row>
    <row r="8" spans="1:19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37"/>
      <c r="R8" s="1"/>
      <c r="S8" s="1"/>
    </row>
    <row r="9" spans="1:19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37"/>
      <c r="R9" s="1"/>
      <c r="S9" s="1"/>
    </row>
    <row r="10" spans="1:19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6"/>
      <c r="N11" s="6"/>
      <c r="O11" s="6"/>
      <c r="P11" s="6"/>
      <c r="Q11" s="6"/>
      <c r="R11" s="6"/>
      <c r="S11" s="1"/>
    </row>
    <row r="12" spans="1:1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</sheetData>
  <mergeCells count="2">
    <mergeCell ref="D2:L3"/>
    <mergeCell ref="Q7:Q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15</xdr:col>
                    <xdr:colOff>19050</xdr:colOff>
                    <xdr:row>6</xdr:row>
                    <xdr:rowOff>123825</xdr:rowOff>
                  </from>
                  <to>
                    <xdr:col>15</xdr:col>
                    <xdr:colOff>438150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Drop Down 5">
              <controlPr defaultSize="0" autoLine="0" autoPict="0">
                <anchor moveWithCells="1">
                  <from>
                    <xdr:col>6</xdr:col>
                    <xdr:colOff>123825</xdr:colOff>
                    <xdr:row>23</xdr:row>
                    <xdr:rowOff>180975</xdr:rowOff>
                  </from>
                  <to>
                    <xdr:col>8</xdr:col>
                    <xdr:colOff>581025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Drop Down 6">
              <controlPr defaultSize="0" autoLine="0" autoPict="0">
                <anchor moveWithCells="1">
                  <from>
                    <xdr:col>11</xdr:col>
                    <xdr:colOff>152400</xdr:colOff>
                    <xdr:row>23</xdr:row>
                    <xdr:rowOff>180975</xdr:rowOff>
                  </from>
                  <to>
                    <xdr:col>14</xdr:col>
                    <xdr:colOff>0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1E0C-7DED-405D-B802-6CB43BDAD547}">
  <sheetPr codeName="Sheet3"/>
  <dimension ref="A1:S28"/>
  <sheetViews>
    <sheetView showGridLines="0" showRowColHeaders="0" zoomScale="157" zoomScaleNormal="100" workbookViewId="0">
      <selection activeCell="C8" sqref="C8"/>
    </sheetView>
  </sheetViews>
  <sheetFormatPr defaultRowHeight="15" x14ac:dyDescent="0.25"/>
  <cols>
    <col min="9" max="9" width="12" customWidth="1"/>
    <col min="10" max="10" width="9.140625" customWidth="1"/>
    <col min="15" max="15" width="9.140625" customWidth="1"/>
    <col min="17" max="17" width="9.28515625" customWidth="1"/>
    <col min="18" max="18" width="9.140625" customWidth="1"/>
    <col min="19" max="19" width="7.7109375" customWidth="1"/>
  </cols>
  <sheetData>
    <row r="1" spans="1:19" x14ac:dyDescent="0.25">
      <c r="B1" t="s">
        <v>59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>
        <v>1</v>
      </c>
      <c r="B2" s="1"/>
      <c r="C2" s="1"/>
      <c r="D2" s="36" t="s">
        <v>4</v>
      </c>
      <c r="E2" s="36"/>
      <c r="F2" s="36"/>
      <c r="G2" s="36"/>
      <c r="H2" s="36"/>
      <c r="I2" s="36"/>
      <c r="J2" s="36"/>
      <c r="K2" s="36"/>
      <c r="L2" s="36"/>
      <c r="M2" s="1"/>
      <c r="N2" s="1"/>
      <c r="O2" s="1"/>
      <c r="P2" s="1"/>
      <c r="Q2" s="1"/>
      <c r="R2" s="1"/>
      <c r="S2" s="1"/>
    </row>
    <row r="3" spans="1:19" x14ac:dyDescent="0.25">
      <c r="A3" s="1">
        <v>64</v>
      </c>
      <c r="B3" s="1">
        <v>1</v>
      </c>
      <c r="C3" s="1"/>
      <c r="D3" s="36"/>
      <c r="E3" s="36"/>
      <c r="F3" s="36"/>
      <c r="G3" s="36"/>
      <c r="H3" s="36"/>
      <c r="I3" s="36"/>
      <c r="J3" s="36"/>
      <c r="K3" s="36"/>
      <c r="L3" s="36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/>
      <c r="B8" s="1"/>
      <c r="C8" s="1"/>
      <c r="D8" s="1"/>
      <c r="E8" s="1"/>
      <c r="F8" s="1"/>
      <c r="G8" s="1"/>
      <c r="H8" s="1"/>
      <c r="I8" s="1"/>
      <c r="O8" s="1"/>
      <c r="P8" s="1"/>
      <c r="Q8" s="1"/>
      <c r="R8" s="1"/>
      <c r="S8" s="1"/>
    </row>
    <row r="9" spans="1:19" x14ac:dyDescent="0.25">
      <c r="A9" s="1"/>
      <c r="B9" s="1"/>
      <c r="C9" s="1"/>
      <c r="D9" s="1"/>
      <c r="E9" s="1"/>
      <c r="F9" s="1"/>
      <c r="G9" s="1"/>
      <c r="H9" s="1"/>
      <c r="I9" s="1"/>
      <c r="O9" s="1"/>
      <c r="P9" s="1"/>
      <c r="Q9" s="1"/>
      <c r="R9" s="1"/>
      <c r="S9" s="1"/>
    </row>
    <row r="10" spans="1:19" x14ac:dyDescent="0.25">
      <c r="A10" s="1"/>
      <c r="B10" s="1"/>
      <c r="C10" s="1"/>
      <c r="D10" s="1"/>
      <c r="E10" s="1"/>
      <c r="F10" s="1"/>
      <c r="G10" s="1"/>
      <c r="H10" s="1"/>
      <c r="I10" s="1"/>
      <c r="O10" s="1"/>
      <c r="P10" s="1"/>
      <c r="Q10" s="1"/>
      <c r="R10" s="1"/>
      <c r="S10" s="1"/>
    </row>
    <row r="11" spans="1:19" x14ac:dyDescent="0.25">
      <c r="A11" s="1"/>
      <c r="B11" s="1"/>
      <c r="C11" s="1"/>
      <c r="D11" s="1"/>
      <c r="E11" s="1"/>
      <c r="F11" s="1"/>
      <c r="G11" s="1"/>
      <c r="H11" s="1"/>
      <c r="I11" s="1"/>
      <c r="O11" s="1"/>
      <c r="P11" s="1"/>
      <c r="Q11" s="1"/>
      <c r="R11" s="6"/>
      <c r="S11" s="40">
        <v>2</v>
      </c>
    </row>
    <row r="12" spans="1:19" ht="14.2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O12" s="1"/>
      <c r="P12" s="1"/>
      <c r="Q12" s="1"/>
      <c r="R12" s="1"/>
      <c r="S12" s="40"/>
    </row>
    <row r="13" spans="1:19" x14ac:dyDescent="0.25">
      <c r="A13" s="1"/>
      <c r="B13" s="1"/>
      <c r="C13" s="1"/>
      <c r="D13" s="1"/>
      <c r="E13" s="1"/>
      <c r="F13" s="1"/>
      <c r="G13" s="1"/>
      <c r="H13" s="1"/>
      <c r="I13" s="1"/>
      <c r="O13" s="1"/>
      <c r="P13" s="1"/>
      <c r="Q13" s="1"/>
      <c r="R13" s="1"/>
      <c r="S13" s="1"/>
    </row>
    <row r="14" spans="1:1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/>
      <c r="B21" s="1"/>
      <c r="C21" s="1"/>
      <c r="D21" s="1"/>
      <c r="E21" s="1"/>
      <c r="F21" s="1"/>
      <c r="G21" s="1"/>
      <c r="H21" s="1"/>
      <c r="I21" s="1"/>
      <c r="J21" s="5" t="s">
        <v>0</v>
      </c>
      <c r="K21" s="5" t="s">
        <v>1</v>
      </c>
      <c r="L21" s="5" t="s">
        <v>17</v>
      </c>
      <c r="M21" s="5" t="s">
        <v>2</v>
      </c>
      <c r="N21" s="5" t="s">
        <v>3</v>
      </c>
      <c r="O21" s="1"/>
      <c r="P21" s="5"/>
      <c r="Q21" s="5" t="s">
        <v>5</v>
      </c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6">
        <f ca="1">Data!M12</f>
        <v>61.44</v>
      </c>
      <c r="K22" s="16">
        <f ca="1">Data!N12</f>
        <v>784</v>
      </c>
      <c r="L22" s="16">
        <f ca="1">Data!O12</f>
        <v>38</v>
      </c>
      <c r="M22" s="16">
        <f ca="1">Data!P12</f>
        <v>456</v>
      </c>
      <c r="N22" s="16">
        <f ca="1">Data!Q12</f>
        <v>25878</v>
      </c>
      <c r="O22" s="1"/>
      <c r="P22" s="7" t="s">
        <v>6</v>
      </c>
      <c r="Q22" s="1" t="str">
        <f>INDEX(Edit!G14:G17,MATCH(MAX(Edit!H14:H17),Edit!H14:H17,0))</f>
        <v>Polynomial</v>
      </c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7">
        <v>57.587585917184541</v>
      </c>
      <c r="K23" s="17"/>
      <c r="L23" s="17">
        <v>22.563230806831314</v>
      </c>
      <c r="M23" s="17">
        <v>220.18651041281464</v>
      </c>
      <c r="N23" s="17">
        <v>17391.750605685433</v>
      </c>
      <c r="O23" s="1"/>
      <c r="P23" s="8" t="s">
        <v>32</v>
      </c>
      <c r="Q23" s="3">
        <f>MAX(Edit!H14:H17)</f>
        <v>0.91949999999999998</v>
      </c>
      <c r="R23" s="1"/>
      <c r="S23" s="1"/>
    </row>
    <row r="24" spans="1:19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3">
        <f ca="1">ABS((J22-J23)/J22)</f>
        <v>6.2702052129157831E-2</v>
      </c>
      <c r="K24" s="3"/>
      <c r="L24" s="3">
        <f t="shared" ref="L24:N24" ca="1" si="0">ABS((L22-L23)/L22)</f>
        <v>0.40623076824128124</v>
      </c>
      <c r="M24" s="3">
        <f t="shared" ca="1" si="0"/>
        <v>0.51713484558593281</v>
      </c>
      <c r="N24" s="3">
        <f t="shared" ca="1" si="0"/>
        <v>0.3279329698707229</v>
      </c>
      <c r="O24" s="1"/>
      <c r="P24" s="4"/>
      <c r="Q24" s="4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3"/>
      <c r="N25" s="3"/>
      <c r="O25" s="1"/>
      <c r="P25" s="38"/>
      <c r="Q25" s="38"/>
      <c r="R25" s="1"/>
      <c r="S25" s="1"/>
    </row>
    <row r="26" spans="1:19" ht="15.75" thickBot="1" x14ac:dyDescent="0.3">
      <c r="A26" s="1"/>
      <c r="B26" s="1"/>
      <c r="C26" s="1"/>
      <c r="D26" s="1"/>
      <c r="E26" s="1"/>
      <c r="F26" s="1"/>
      <c r="G26" s="1"/>
      <c r="H26" s="1"/>
      <c r="I26" s="1"/>
      <c r="J26" s="4"/>
      <c r="K26" s="4"/>
      <c r="L26" s="4"/>
      <c r="M26" s="4"/>
      <c r="N26" s="4"/>
      <c r="O26" s="1"/>
      <c r="P26" s="39"/>
      <c r="Q26" s="39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</sheetData>
  <mergeCells count="3">
    <mergeCell ref="D2:L3"/>
    <mergeCell ref="P25:Q26"/>
    <mergeCell ref="S11:S12"/>
  </mergeCells>
  <conditionalFormatting sqref="J24:N24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3</xdr:col>
                    <xdr:colOff>66675</xdr:colOff>
                    <xdr:row>23</xdr:row>
                    <xdr:rowOff>0</xdr:rowOff>
                  </from>
                  <to>
                    <xdr:col>5</xdr:col>
                    <xdr:colOff>447675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3</xdr:col>
                    <xdr:colOff>66675</xdr:colOff>
                    <xdr:row>24</xdr:row>
                    <xdr:rowOff>95250</xdr:rowOff>
                  </from>
                  <to>
                    <xdr:col>5</xdr:col>
                    <xdr:colOff>447675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Drop Down 9">
              <controlPr defaultSize="0" autoLine="0" autoPict="0">
                <anchor moveWithCells="1">
                  <from>
                    <xdr:col>6</xdr:col>
                    <xdr:colOff>428625</xdr:colOff>
                    <xdr:row>6</xdr:row>
                    <xdr:rowOff>95250</xdr:rowOff>
                  </from>
                  <to>
                    <xdr:col>7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Drop Down 10">
              <controlPr defaultSize="0" autoLine="0" autoPict="0">
                <anchor moveWithCells="1">
                  <from>
                    <xdr:col>6</xdr:col>
                    <xdr:colOff>438150</xdr:colOff>
                    <xdr:row>8</xdr:row>
                    <xdr:rowOff>85725</xdr:rowOff>
                  </from>
                  <to>
                    <xdr:col>7</xdr:col>
                    <xdr:colOff>476250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Drop Down 11">
              <controlPr defaultSize="0" autoLine="0" autoPict="0">
                <anchor moveWithCells="1">
                  <from>
                    <xdr:col>6</xdr:col>
                    <xdr:colOff>428625</xdr:colOff>
                    <xdr:row>10</xdr:row>
                    <xdr:rowOff>66675</xdr:rowOff>
                  </from>
                  <to>
                    <xdr:col>7</xdr:col>
                    <xdr:colOff>247650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Drop Down 17">
              <controlPr defaultSize="0" autoLine="0" autoPict="0">
                <anchor moveWithCells="1">
                  <from>
                    <xdr:col>6</xdr:col>
                    <xdr:colOff>400050</xdr:colOff>
                    <xdr:row>19</xdr:row>
                    <xdr:rowOff>180975</xdr:rowOff>
                  </from>
                  <to>
                    <xdr:col>7</xdr:col>
                    <xdr:colOff>219075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Drop Down 18">
              <controlPr defaultSize="0" autoLine="0" autoPict="0">
                <anchor moveWithCells="1">
                  <from>
                    <xdr:col>16</xdr:col>
                    <xdr:colOff>19050</xdr:colOff>
                    <xdr:row>5</xdr:row>
                    <xdr:rowOff>85725</xdr:rowOff>
                  </from>
                  <to>
                    <xdr:col>18</xdr:col>
                    <xdr:colOff>66675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1" name="Option Button 20">
              <controlPr defaultSize="0" autoFill="0" autoLine="0" autoPict="0" macro="[0]!LinearFit_Select">
                <anchor moveWithCells="1">
                  <from>
                    <xdr:col>16</xdr:col>
                    <xdr:colOff>85725</xdr:colOff>
                    <xdr:row>7</xdr:row>
                    <xdr:rowOff>180975</xdr:rowOff>
                  </from>
                  <to>
                    <xdr:col>18</xdr:col>
                    <xdr:colOff>85725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2" name="Option Button 21">
              <controlPr defaultSize="0" autoFill="0" autoLine="0" autoPict="0" macro="[0]!ExponentialFit_Select">
                <anchor moveWithCells="1">
                  <from>
                    <xdr:col>16</xdr:col>
                    <xdr:colOff>85725</xdr:colOff>
                    <xdr:row>9</xdr:row>
                    <xdr:rowOff>47625</xdr:rowOff>
                  </from>
                  <to>
                    <xdr:col>18</xdr:col>
                    <xdr:colOff>85725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3" name="Option Button 22">
              <controlPr defaultSize="0" autoFill="0" autoLine="0" autoPict="0" macro="[0]!PolyFit_Select">
                <anchor moveWithCells="1">
                  <from>
                    <xdr:col>16</xdr:col>
                    <xdr:colOff>85725</xdr:colOff>
                    <xdr:row>10</xdr:row>
                    <xdr:rowOff>114300</xdr:rowOff>
                  </from>
                  <to>
                    <xdr:col>18</xdr:col>
                    <xdr:colOff>85725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4" name="Option Button 23">
              <controlPr defaultSize="0" autoFill="0" autoLine="0" autoPict="0" macro="[0]!Module1.LogFit_Select">
                <anchor moveWithCells="1">
                  <from>
                    <xdr:col>16</xdr:col>
                    <xdr:colOff>85725</xdr:colOff>
                    <xdr:row>11</xdr:row>
                    <xdr:rowOff>171450</xdr:rowOff>
                  </from>
                  <to>
                    <xdr:col>18</xdr:col>
                    <xdr:colOff>85725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5" name="Group Box 27">
              <controlPr defaultSize="0" autoFill="0" autoPict="0">
                <anchor moveWithCells="1">
                  <from>
                    <xdr:col>15</xdr:col>
                    <xdr:colOff>561975</xdr:colOff>
                    <xdr:row>7</xdr:row>
                    <xdr:rowOff>123825</xdr:rowOff>
                  </from>
                  <to>
                    <xdr:col>18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6" name="Spinner 28">
              <controlPr defaultSize="0" autoPict="0" altText="">
                <anchor>
                  <from>
                    <xdr:col>17</xdr:col>
                    <xdr:colOff>276225</xdr:colOff>
                    <xdr:row>10</xdr:row>
                    <xdr:rowOff>123825</xdr:rowOff>
                  </from>
                  <to>
                    <xdr:col>17</xdr:col>
                    <xdr:colOff>438150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Drop Down 35">
              <controlPr defaultSize="0" autoLine="0" autoPict="0">
                <anchor moveWithCells="1">
                  <from>
                    <xdr:col>6</xdr:col>
                    <xdr:colOff>390525</xdr:colOff>
                    <xdr:row>16</xdr:row>
                    <xdr:rowOff>47625</xdr:rowOff>
                  </from>
                  <to>
                    <xdr:col>7</xdr:col>
                    <xdr:colOff>447675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18" name="Drop Down 36">
              <controlPr defaultSize="0" autoLine="0" autoPict="0">
                <anchor moveWithCells="1">
                  <from>
                    <xdr:col>6</xdr:col>
                    <xdr:colOff>400050</xdr:colOff>
                    <xdr:row>18</xdr:row>
                    <xdr:rowOff>38100</xdr:rowOff>
                  </from>
                  <to>
                    <xdr:col>7</xdr:col>
                    <xdr:colOff>438150</xdr:colOff>
                    <xdr:row>19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05C41-A9D7-4822-9271-4B1B0B2893AC}">
  <sheetPr codeName="Sheet4"/>
  <dimension ref="A1:S28"/>
  <sheetViews>
    <sheetView showGridLines="0" showRowColHeaders="0" zoomScale="165" zoomScaleNormal="115" workbookViewId="0"/>
  </sheetViews>
  <sheetFormatPr defaultRowHeight="15" x14ac:dyDescent="0.25"/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/>
      <c r="B2" s="1"/>
      <c r="C2" s="1"/>
      <c r="D2" s="36" t="s">
        <v>4</v>
      </c>
      <c r="E2" s="36"/>
      <c r="F2" s="36"/>
      <c r="G2" s="36"/>
      <c r="H2" s="36"/>
      <c r="I2" s="36"/>
      <c r="J2" s="36"/>
      <c r="K2" s="36"/>
      <c r="L2" s="36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36"/>
      <c r="E3" s="36"/>
      <c r="F3" s="36"/>
      <c r="G3" s="36"/>
      <c r="H3" s="36"/>
      <c r="I3" s="36"/>
      <c r="J3" s="36"/>
      <c r="K3" s="36"/>
      <c r="L3" s="36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/>
      <c r="B8" s="1"/>
      <c r="C8" s="1"/>
      <c r="D8" s="1">
        <v>56</v>
      </c>
      <c r="E8" s="1"/>
      <c r="F8" s="1">
        <v>68</v>
      </c>
      <c r="G8" s="1"/>
      <c r="H8" s="1">
        <v>60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.75" thickBot="1" x14ac:dyDescent="0.3">
      <c r="A9" s="1"/>
      <c r="B9" s="1"/>
      <c r="C9" s="1"/>
      <c r="D9" s="26" t="s">
        <v>58</v>
      </c>
      <c r="E9" s="27" t="s">
        <v>63</v>
      </c>
      <c r="F9" s="26" t="s">
        <v>58</v>
      </c>
      <c r="G9" s="27" t="s">
        <v>63</v>
      </c>
      <c r="H9" s="28" t="s">
        <v>58</v>
      </c>
      <c r="I9" s="26" t="s">
        <v>63</v>
      </c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1"/>
      <c r="B10" s="1"/>
      <c r="C10" s="1"/>
      <c r="D10" s="21">
        <f>$D$12-2000</f>
        <v>7000</v>
      </c>
      <c r="E10" s="34">
        <f ca="1">1-((D10*1.3522*(Computation!$M$23^0.7402))/(Data!$N$12*(Analysis!$D$8^1.7056)))</f>
        <v>0.31727297756805739</v>
      </c>
      <c r="F10" s="21">
        <f>$D$12-2000</f>
        <v>7000</v>
      </c>
      <c r="G10" s="34">
        <f ca="1">1-((F10*1.3522*(Computation!$M$23^0.7402))/(Data!$N$12*(Analysis!$F$8^1.7056)))</f>
        <v>0.50973669343343064</v>
      </c>
      <c r="H10" s="23">
        <f>$D$12-2000</f>
        <v>7000</v>
      </c>
      <c r="I10" s="35">
        <f ca="1">1-((H10*1.3522*(Computation!$M$23^0.7402))/(Data!$N$12*(Analysis!$H$8^1.7056)))</f>
        <v>0.39306550834743959</v>
      </c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1"/>
      <c r="B11" s="1"/>
      <c r="C11" s="1"/>
      <c r="D11" s="21">
        <f>$D$12-1000</f>
        <v>8000</v>
      </c>
      <c r="E11" s="25">
        <f ca="1">1-((D11*1.3522*(Computation!$M$23^0.7402))/(Data!$N$12*(Analysis!$D$8^1.7056)))</f>
        <v>0.21974054579206548</v>
      </c>
      <c r="F11" s="21">
        <f>$D$12-1000</f>
        <v>8000</v>
      </c>
      <c r="G11" s="25">
        <f ca="1">1-((F11*1.3522*(Computation!$M$23^0.7402))/(Data!$N$12*(Analysis!$F$8^1.7056)))</f>
        <v>0.43969907820963494</v>
      </c>
      <c r="H11" s="24">
        <f>$D$12-1000</f>
        <v>8000</v>
      </c>
      <c r="I11" s="3">
        <f ca="1">1-((H11*1.3522*(Computation!$M$23^0.7402))/(Data!$N$12*(Analysis!$H$8^1.7056)))</f>
        <v>0.30636058096850227</v>
      </c>
      <c r="J11" s="1"/>
      <c r="K11" s="1"/>
      <c r="L11" s="1"/>
      <c r="M11" s="6"/>
      <c r="N11" s="6"/>
      <c r="O11" s="6"/>
      <c r="P11" s="6"/>
      <c r="Q11" s="6"/>
      <c r="R11" s="6"/>
      <c r="S11" s="1"/>
    </row>
    <row r="12" spans="1:19" x14ac:dyDescent="0.25">
      <c r="A12" s="1"/>
      <c r="B12" s="1"/>
      <c r="C12" s="1"/>
      <c r="D12" s="21">
        <f>VALUE(Computation!$B$1)</f>
        <v>9000</v>
      </c>
      <c r="E12" s="25">
        <f ca="1">1-((D12*1.3522*(Computation!$M$23^0.7402))/(Data!$N$12*(Analysis!$D$8^1.7056)))</f>
        <v>0.12220811401607368</v>
      </c>
      <c r="F12" s="21">
        <f>VALUE(Computation!$B$1)</f>
        <v>9000</v>
      </c>
      <c r="G12" s="25">
        <f ca="1">1-((F12*1.3522*(Computation!$M$23^0.7402))/(Data!$N$12*(Analysis!$F$8^1.7056)))</f>
        <v>0.36966146298583924</v>
      </c>
      <c r="H12" s="24">
        <f>VALUE(Computation!$B$1)</f>
        <v>9000</v>
      </c>
      <c r="I12" s="3">
        <f ca="1">1-((H12*1.3522*(Computation!$M$23^0.7402))/(Data!$N$12*(Analysis!$H$8^1.7056)))</f>
        <v>0.21965565358956518</v>
      </c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1"/>
      <c r="C13" s="1"/>
      <c r="D13" s="21">
        <f>$D$12+1000</f>
        <v>10000</v>
      </c>
      <c r="E13" s="33">
        <f ca="1">1-((D13*1.3522*(Computation!$M$23^0.7402))/(Data!$N$12*(Analysis!$D$8^1.7056)))</f>
        <v>2.4675682240081875E-2</v>
      </c>
      <c r="F13" s="21">
        <f>$D$12+1000</f>
        <v>10000</v>
      </c>
      <c r="G13" s="33">
        <f ca="1">1-((F13*1.3522*(Computation!$M$23^0.7402))/(Data!$N$12*(Analysis!$F$8^1.7056)))</f>
        <v>0.29962384776204365</v>
      </c>
      <c r="H13" s="24">
        <f>$D$12+1000</f>
        <v>10000</v>
      </c>
      <c r="I13" s="21">
        <f ca="1">1-((H13*1.3522*(Computation!$M$23^0.7402))/(Data!$N$12*(Analysis!$H$8^1.7056)))</f>
        <v>0.13295072621062798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/>
      <c r="B14" s="1"/>
      <c r="C14" s="1"/>
      <c r="D14" s="4">
        <f>$D$12+2000</f>
        <v>11000</v>
      </c>
      <c r="E14" s="19">
        <f ca="1">1-((D14*1.3522*(Computation!$M$23^0.7402))/(Data!$N$12*(Analysis!$D$8^1.7056)))</f>
        <v>-7.2856749535909815E-2</v>
      </c>
      <c r="F14" s="4">
        <f>$D$12+2000</f>
        <v>11000</v>
      </c>
      <c r="G14" s="19">
        <f ca="1">1-((F14*1.3522*(Computation!$M$23^0.7402))/(Data!$N$12*(Analysis!$F$8^1.7056)))</f>
        <v>0.22958623253824806</v>
      </c>
      <c r="H14" s="20">
        <f>$D$12+2000</f>
        <v>11000</v>
      </c>
      <c r="I14" s="4">
        <f ca="1">1-((H14*1.3522*(Computation!$M$23^0.7402))/(Data!$N$12*(Analysis!$H$8^1.7056)))</f>
        <v>4.6245798831690776E-2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>
        <v>64</v>
      </c>
      <c r="E20" s="1"/>
      <c r="F20" s="1">
        <v>56</v>
      </c>
      <c r="G20" s="1"/>
      <c r="H20" s="1">
        <v>44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/>
      <c r="B21" s="1"/>
      <c r="C21" s="1"/>
      <c r="D21" s="29" t="s">
        <v>58</v>
      </c>
      <c r="E21" s="30" t="s">
        <v>30</v>
      </c>
      <c r="F21" s="29" t="s">
        <v>58</v>
      </c>
      <c r="G21" s="30" t="s">
        <v>30</v>
      </c>
      <c r="H21" s="29" t="s">
        <v>58</v>
      </c>
      <c r="I21" s="29" t="s">
        <v>30</v>
      </c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/>
      <c r="B22" s="1"/>
      <c r="C22" s="1"/>
      <c r="D22" s="2">
        <f>$D$12-2000</f>
        <v>7000</v>
      </c>
      <c r="E22" s="22">
        <f ca="1">(Computation!$K$22*(((Analysis!$D$20))^2.11))/(46.67*D22)</f>
        <v>15.531734814653854</v>
      </c>
      <c r="F22" s="2">
        <f>$D$12-2000</f>
        <v>7000</v>
      </c>
      <c r="G22" s="22">
        <f ca="1">(Computation!$K$22*((($F$20))^2.11))/(46.67*F22)</f>
        <v>11.718093494542888</v>
      </c>
      <c r="H22" s="2">
        <f>$D$12-2000</f>
        <v>7000</v>
      </c>
      <c r="I22" s="2">
        <f ca="1">(Computation!$K$22*((($H$20))^2.11))/(46.67*H22)</f>
        <v>7.0447464871938177</v>
      </c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1"/>
      <c r="B23" s="1"/>
      <c r="C23" s="1"/>
      <c r="D23" s="3">
        <f>$D$12-1000</f>
        <v>8000</v>
      </c>
      <c r="E23" s="22">
        <f ca="1">(Computation!$K$22*(((Analysis!$D$20))^2.11))/(46.67*D23)</f>
        <v>13.590267962822121</v>
      </c>
      <c r="F23" s="3">
        <f>$D$12-1000</f>
        <v>8000</v>
      </c>
      <c r="G23" s="22">
        <f ca="1">(Computation!$K$22*((($F$20))^2.11))/(46.67*F23)</f>
        <v>10.253331807725028</v>
      </c>
      <c r="H23" s="3">
        <f>$D$12-1000</f>
        <v>8000</v>
      </c>
      <c r="I23" s="2">
        <f ca="1">(Computation!$K$22*((($H$20))^2.11))/(46.67*H23)</f>
        <v>6.1641531762945903</v>
      </c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/>
      <c r="B24" s="1"/>
      <c r="C24" s="1"/>
      <c r="D24" s="3">
        <f>VALUE(Computation!$B$1)</f>
        <v>9000</v>
      </c>
      <c r="E24" s="22">
        <f ca="1">(Computation!$K$22*(((Analysis!$D$20))^2.11))/(46.67*D24)</f>
        <v>12.080238189175219</v>
      </c>
      <c r="F24" s="3">
        <f>VALUE(Computation!$B$1)</f>
        <v>9000</v>
      </c>
      <c r="G24" s="22">
        <f ca="1">(Computation!$K$22*((($F$20))^2.11))/(46.67*F24)</f>
        <v>9.1140727179778018</v>
      </c>
      <c r="H24" s="3">
        <f>VALUE(Computation!$B$1)</f>
        <v>9000</v>
      </c>
      <c r="I24" s="2">
        <f ca="1">(Computation!$K$22*((($H$20))^2.11))/(46.67*H24)</f>
        <v>5.4792472678174136</v>
      </c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/>
      <c r="B25" s="1"/>
      <c r="C25" s="1"/>
      <c r="D25" s="3">
        <f>$D$12+1000</f>
        <v>10000</v>
      </c>
      <c r="E25" s="22">
        <f ca="1">(Computation!$K$22*(((Analysis!$D$20))^2.11))/(46.67*D25)</f>
        <v>10.872214370257698</v>
      </c>
      <c r="F25" s="3">
        <f>$D$12+1000</f>
        <v>10000</v>
      </c>
      <c r="G25" s="22">
        <f ca="1">(Computation!$K$22*((($F$20))^2.11))/(46.67*F25)</f>
        <v>8.2026654461800224</v>
      </c>
      <c r="H25" s="3">
        <f>$D$12+1000</f>
        <v>10000</v>
      </c>
      <c r="I25" s="2">
        <f ca="1">(Computation!$K$22*((($H$20))^2.11))/(46.67*H25)</f>
        <v>4.931322541035672</v>
      </c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/>
      <c r="B26" s="1"/>
      <c r="C26" s="1"/>
      <c r="D26" s="4">
        <f>$D$12+2000</f>
        <v>11000</v>
      </c>
      <c r="E26" s="22">
        <f ca="1">(Computation!$K$22*(((Analysis!$D$20))^2.11))/(46.67*D26)</f>
        <v>9.8838312456888158</v>
      </c>
      <c r="F26" s="4">
        <f>$D$12+2000</f>
        <v>11000</v>
      </c>
      <c r="G26" s="22">
        <f ca="1">(Computation!$K$22*((($F$20))^2.11))/(46.67*F26)</f>
        <v>7.4569685874363829</v>
      </c>
      <c r="H26" s="4">
        <f>$D$12+2000</f>
        <v>11000</v>
      </c>
      <c r="I26" s="2">
        <f ca="1">(Computation!$K$22*((($H$20))^2.11))/(46.67*H26)</f>
        <v>4.4830204918506116</v>
      </c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</sheetData>
  <mergeCells count="1">
    <mergeCell ref="D2:L3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AFBE61-E987-4F4A-AB5F-1F4B40319A9B}">
          <x14:formula1>
            <xm:f>Edit!$C$34:$C$51</xm:f>
          </x14:formula1>
          <xm:sqref>D8 F8 H8 D20 F20 H20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8575-D876-4496-89CB-9B0CE1B23C8E}">
  <sheetPr codeName="Sheet6"/>
  <dimension ref="A2:S28"/>
  <sheetViews>
    <sheetView showGridLines="0" showRowColHeaders="0" zoomScaleNormal="100" workbookViewId="0"/>
  </sheetViews>
  <sheetFormatPr defaultRowHeight="15" x14ac:dyDescent="0.25"/>
  <sheetData>
    <row r="2" spans="1:19" x14ac:dyDescent="0.25">
      <c r="A2" s="1"/>
      <c r="B2" s="1"/>
      <c r="C2" s="1"/>
      <c r="D2" s="36" t="s">
        <v>4</v>
      </c>
      <c r="E2" s="36"/>
      <c r="F2" s="36"/>
      <c r="G2" s="36"/>
      <c r="H2" s="36"/>
      <c r="I2" s="36"/>
      <c r="J2" s="36"/>
      <c r="K2" s="36"/>
      <c r="L2" s="36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36"/>
      <c r="E3" s="36"/>
      <c r="F3" s="36"/>
      <c r="G3" s="36"/>
      <c r="H3" s="36"/>
      <c r="I3" s="36"/>
      <c r="J3" s="36"/>
      <c r="K3" s="36"/>
      <c r="L3" s="36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6"/>
      <c r="N11" s="6"/>
      <c r="O11" s="6"/>
      <c r="P11" s="6"/>
      <c r="Q11" s="6"/>
      <c r="R11" s="6"/>
      <c r="S11" s="1"/>
    </row>
    <row r="12" spans="1:1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</sheetData>
  <mergeCells count="1">
    <mergeCell ref="D2:L3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31EE7A2C8B92408ABF31616A1546D7" ma:contentTypeVersion="4" ma:contentTypeDescription="Create a new document." ma:contentTypeScope="" ma:versionID="f26c0919fe75d9e55d3f1dbe20be3c92">
  <xsd:schema xmlns:xsd="http://www.w3.org/2001/XMLSchema" xmlns:xs="http://www.w3.org/2001/XMLSchema" xmlns:p="http://schemas.microsoft.com/office/2006/metadata/properties" xmlns:ns3="6c9df6fb-1662-4f75-ad2d-27bc3e4d59b6" targetNamespace="http://schemas.microsoft.com/office/2006/metadata/properties" ma:root="true" ma:fieldsID="265fa510cdea4d89eb2d457f30184cc4" ns3:_="">
    <xsd:import namespace="6c9df6fb-1662-4f75-ad2d-27bc3e4d59b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9df6fb-1662-4f75-ad2d-27bc3e4d5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D981D7C-5E91-4056-822F-8073E5469B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9df6fb-1662-4f75-ad2d-27bc3e4d5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855DD4-46B9-4DF1-ABAF-6EA05A5FA3F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D8670FA-02D0-4285-97DE-2D3D0E3A6BC9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6c9df6fb-1662-4f75-ad2d-27bc3e4d59b6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Imported File</vt:lpstr>
      <vt:lpstr>Edit</vt:lpstr>
      <vt:lpstr>Data</vt:lpstr>
      <vt:lpstr>Plots</vt:lpstr>
      <vt:lpstr>Computation</vt:lpstr>
      <vt:lpstr>Analysis</vt:lpstr>
      <vt:lpstr>Options</vt:lpstr>
      <vt:lpstr>Choke_Axis</vt:lpstr>
      <vt:lpstr>Columns</vt:lpstr>
      <vt:lpstr>FitColumns</vt:lpstr>
      <vt:lpstr>FlowCondDrop</vt:lpstr>
      <vt:lpstr>MethodDrop</vt:lpstr>
      <vt:lpstr>ModelDrop</vt:lpstr>
      <vt:lpstr>Step_Value</vt:lpstr>
      <vt:lpstr>TimeLag</vt:lpstr>
      <vt:lpstr>Y_AxisFIt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Bassey</dc:creator>
  <cp:lastModifiedBy>Israel Bassey</cp:lastModifiedBy>
  <dcterms:created xsi:type="dcterms:W3CDTF">2022-04-16T08:47:32Z</dcterms:created>
  <dcterms:modified xsi:type="dcterms:W3CDTF">2022-10-02T17:21:21Z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2022-04-16T08:47:33Z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237817f3-b549-4feb-bd09-08e7ea2c65e3</vt:lpwstr>
  </property>
  <property fmtid="{D5CDD505-2E9C-101B-9397-08002B2CF9AE}" pid="7" name="MSIP_Label_defa4170-0d19-0005-0004-bc88714345d2_ActionId">
    <vt:lpwstr>1bc8f1cd-c88b-4383-b769-023a3dcb9317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0x0101009431EE7A2C8B92408ABF31616A1546D7</vt:lpwstr>
  </property>
</Properties>
</file>